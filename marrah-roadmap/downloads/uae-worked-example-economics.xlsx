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4fe6b3d694b72" /></Relationships>
</file>

<file path=xl/workbook.xml><?xml version="1.0" encoding="utf-8"?>
<x:workbook xmlns:x="http://schemas.openxmlformats.org/spreadsheetml/2006/main">
  <x:sheets>
    <x:sheet xmlns:r="http://schemas.openxmlformats.org/officeDocument/2006/relationships" name="Summary" sheetId="1" r:id="Rb4a9766bf5474932"/>
    <x:sheet xmlns:r="http://schemas.openxmlformats.org/officeDocument/2006/relationships" name="Assumptions" sheetId="2" r:id="Rdb51629596374c50"/>
    <x:sheet xmlns:r="http://schemas.openxmlformats.org/officeDocument/2006/relationships" name="Merchant model" sheetId="3" r:id="R2009ebf4a97b4923"/>
    <x:sheet xmlns:r="http://schemas.openxmlformats.org/officeDocument/2006/relationships" name="SaaS model" sheetId="4" r:id="R281565c413e44d7c"/>
    <x:sheet xmlns:r="http://schemas.openxmlformats.org/officeDocument/2006/relationships" name="Cash ramp" sheetId="5" r:id="R5f42c040be94470f"/>
    <x:sheet xmlns:r="http://schemas.openxmlformats.org/officeDocument/2006/relationships" name="ReadMe" sheetId="6" r:id="R02c79223b9004c8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Red](#,##0.00);-"/>
    <x:numFmt numFmtId="201" formatCode="0.0%"/>
    <x:numFmt numFmtId="202" formatCode="#,##0;[Red](#,##0);-"/>
    <x:numFmt numFmtId="203" formatCode="0.00"/>
  </x:numFmts>
  <x:fonts count="12">
    <x:font>
      <x:sz val="11"/>
      <x:name val="Carlito"/>
    </x:font>
    <x:font>
      <x:sz val="10"/>
      <x:color rgb="FF1F2937"/>
      <x:name val="Arial"/>
    </x:font>
    <x:font>
      <x:b/>
      <x:sz val="16"/>
      <x:color rgb="FF17324D"/>
      <x:name val="Arial"/>
    </x:font>
    <x:font>
      <x:i/>
      <x:sz val="10"/>
      <x:color rgb="FF667085"/>
      <x:name val="Arial"/>
    </x:font>
    <x:font>
      <x:b/>
      <x:sz val="11"/>
      <x:color rgb="FF008000"/>
      <x:name val="Arial"/>
    </x:font>
    <x:font>
      <x:sz val="10"/>
      <x:color rgb="FF0000FF"/>
      <x:name val="Arial"/>
    </x:font>
    <x:font>
      <x:b/>
      <x:sz val="10"/>
      <x:color rgb="FFFFFFFF"/>
      <x:name val="Arial"/>
    </x:font>
    <x:font>
      <x:sz val="10"/>
      <x:color rgb="FF000000"/>
      <x:name val="Arial"/>
    </x:font>
    <x:font>
      <x:i/>
      <x:sz val="9"/>
      <x:color rgb="FF667085"/>
      <x:name val="Arial"/>
    </x:font>
    <x:font>
      <x:i/>
      <x:sz val="9"/>
      <x:color rgb="FF9C2A1D"/>
      <x:name val="Arial"/>
    </x:font>
    <x:font>
      <x:b/>
      <x:sz val="10"/>
      <x:color rgb="FF17324D"/>
      <x:name val="Arial"/>
    </x:font>
    <x:font>
      <x:sz val="9"/>
      <x:color rgb="FF9C2A1D"/>
      <x:name val="Arial"/>
    </x:font>
  </x:fonts>
  <x:fills count="9">
    <x:fill>
      <x:patternFill patternType="none"/>
    </x:fill>
    <x:fill>
      <x:patternFill patternType="gray125"/>
    </x:fill>
    <x:fill>
      <x:patternFill patternType="solid">
        <x:fgColor rgb="FFFFF2CC"/>
      </x:patternFill>
    </x:fill>
    <x:fill>
      <x:patternFill patternType="solid">
        <x:fgColor rgb="FF17324D"/>
      </x:patternFill>
    </x:fill>
    <x:fill>
      <x:patternFill patternType="solid">
        <x:fgColor rgb="FFFFFFFF"/>
      </x:patternFill>
    </x:fill>
    <x:fill>
      <x:patternFill patternType="solid">
        <x:fgColor rgb="FFE2F0D9"/>
      </x:patternFill>
    </x:fill>
    <x:fill>
      <x:patternFill patternType="solid">
        <x:fgColor rgb="FFEAF3F8"/>
      </x:patternFill>
    </x:fill>
    <x:fill>
      <x:patternFill patternType="solid">
        <x:fgColor rgb="FFF2F4F7"/>
      </x:patternFill>
    </x:fill>
    <x:fill>
      <x:patternFill patternType="solid">
        <x:fgColor rgb="FFFCE8E6"/>
      </x:patternFill>
    </x:fill>
  </x:fills>
  <x:borders count="7">
    <x:border>
      <x:left/>
      <x:right/>
      <x:top/>
      <x:bottom/>
      <x:diagonal/>
    </x:border>
    <x:border>
      <x:left/>
      <x:right/>
      <x:top/>
      <x:bottom style="thin">
        <x:color rgb="FF17324D"/>
      </x:bottom>
      <x:diagonal/>
    </x:border>
    <x:border>
      <x:left style="dashed">
        <x:color rgb="FF2F6B8A"/>
      </x:left>
      <x:right style="dashed">
        <x:color rgb="FF2F6B8A"/>
      </x:right>
      <x:top style="dashed">
        <x:color rgb="FF2F6B8A"/>
      </x:top>
      <x:bottom style="dashed">
        <x:color rgb="FF2F6B8A"/>
      </x:bottom>
      <x:diagonal/>
    </x:border>
    <x:border>
      <x:left style="thin">
        <x:color rgb="FFFFFFFF"/>
      </x:left>
      <x:right style="thin">
        <x:color rgb="FFFFFFFF"/>
      </x:right>
      <x:top style="thin">
        <x:color rgb="FFFFFFFF"/>
      </x:top>
      <x:bottom style="thin">
        <x:color rgb="FFFFFFFF"/>
      </x:bottom>
      <x:diagonal/>
    </x:border>
    <x:border>
      <x:left style="thin">
        <x:color rgb="FFC9D2DC"/>
      </x:left>
      <x:right/>
      <x:top style="thin">
        <x:color rgb="FFC9D2DC"/>
      </x:top>
      <x:bottom style="thin">
        <x:color rgb="FFC9D2DC"/>
      </x:bottom>
      <x:diagonal/>
    </x:border>
    <x:border>
      <x:left/>
      <x:right/>
      <x:top style="thin">
        <x:color rgb="FFC9D2DC"/>
      </x:top>
      <x:bottom style="thin">
        <x:color rgb="FFC9D2DC"/>
      </x:bottom>
      <x:diagonal/>
    </x:border>
    <x:border>
      <x:left/>
      <x:right style="thin">
        <x:color rgb="FFC9D2DC"/>
      </x:right>
      <x:top style="thin">
        <x:color rgb="FFC9D2DC"/>
      </x:top>
      <x:bottom style="thin">
        <x:color rgb="FFC9D2DC"/>
      </x:bottom>
      <x:diagonal/>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2"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6" fillId="3" borderId="3" xfId="0" applyNumberFormat="1" applyFont="1" applyFill="1" applyBorder="1" applyAlignment="1">
      <x:alignment horizontal="center" vertical="center"/>
    </x:xf>
    <x:xf numFmtId="0" fontId="7" fillId="0"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200" fontId="7" fillId="0" borderId="0" xfId="0" applyNumberFormat="1" applyFont="1" applyFill="1" applyBorder="1" applyAlignment="1">
      <x:alignment vertical="center"/>
    </x:xf>
    <x:xf numFmtId="200" fontId="5" fillId="2" borderId="0" xfId="0" applyNumberFormat="1" applyFont="1" applyFill="1" applyBorder="1" applyAlignment="1">
      <x:alignment vertical="center"/>
    </x:xf>
    <x:xf numFmtId="200" fontId="7" fillId="4" borderId="0" xfId="0" applyNumberFormat="1" applyFont="1" applyFill="1" applyBorder="1" applyAlignment="1">
      <x:alignment vertical="center"/>
    </x:xf>
    <x:xf numFmtId="201" fontId="7" fillId="0" borderId="0" xfId="0" applyNumberFormat="1" applyFont="1" applyFill="1" applyBorder="1" applyAlignment="1">
      <x:alignment vertical="center"/>
    </x:xf>
    <x:xf numFmtId="201" fontId="5" fillId="2"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203"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7"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200" fontId="7" fillId="6" borderId="0" xfId="0" applyNumberFormat="1" applyFont="1" applyFill="1" applyBorder="1" applyAlignment="1">
      <x:alignment vertical="center"/>
    </x:xf>
    <x:xf numFmtId="0" fontId="1" fillId="7" borderId="0" xfId="0" applyNumberFormat="1" applyFont="1" applyFill="1" applyBorder="1" applyAlignment="1">
      <x:alignment vertical="center"/>
    </x:xf>
    <x:xf numFmtId="200" fontId="7" fillId="7"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0" fontId="1" fillId="5" borderId="0" xfId="0" applyNumberFormat="1" applyFont="1" applyFill="1" applyBorder="1" applyAlignment="1">
      <x:alignment vertical="center"/>
    </x:xf>
    <x:xf numFmtId="202" fontId="1" fillId="6"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3" xfId="0" applyNumberFormat="1" applyFont="1" applyFill="1" applyBorder="1" applyAlignment="1">
      <x:alignment horizontal="center"/>
    </x:xf>
    <x:xf numFmtId="203" fontId="0" fillId="0" borderId="0" xfId="0" applyNumberFormat="1" applyFont="1" applyFill="1" applyBorder="1"/>
    <x:xf numFmtId="200" fontId="0" fillId="0" borderId="0" xfId="0" applyNumberFormat="1" applyFont="1" applyFill="1" applyBorder="1"/>
    <x:xf numFmtId="200" fontId="1" fillId="6" borderId="0" xfId="0" applyNumberFormat="1" applyFont="1" applyFill="1" applyBorder="1" applyAlignment="1">
      <x:alignment vertical="center"/>
    </x:xf>
    <x:xf numFmtId="200" fontId="0" fillId="6" borderId="0" xfId="0" applyNumberFormat="1" applyFont="1" applyFill="1" applyBorder="1"/>
    <x:xf numFmtId="200" fontId="0" fillId="5" borderId="0" xfId="0" applyNumberFormat="1" applyFont="1" applyFill="1" applyBorder="1"/>
    <x:xf numFmtId="0" fontId="10" fillId="6" borderId="0" xfId="0" applyNumberFormat="1" applyFont="1" applyFill="1" applyBorder="1" applyAlignment="1">
      <x:alignment vertical="center"/>
    </x:xf>
    <x:xf numFmtId="0" fontId="10" fillId="6" borderId="4" xfId="0" applyNumberFormat="1" applyFont="1" applyFill="1" applyBorder="1" applyAlignment="1">
      <x:alignment vertical="center"/>
    </x:xf>
    <x:xf numFmtId="0" fontId="10" fillId="6" borderId="5" xfId="0" applyNumberFormat="1" applyFont="1" applyFill="1" applyBorder="1" applyAlignment="1">
      <x:alignment vertical="center"/>
    </x:xf>
    <x:xf numFmtId="0" fontId="10" fillId="6" borderId="6" xfId="0" applyNumberFormat="1" applyFont="1" applyFill="1" applyBorder="1" applyAlignment="1">
      <x:alignment vertical="center"/>
    </x:xf>
    <x:xf numFmtId="0" fontId="1" fillId="8" borderId="0" xfId="0" applyNumberFormat="1" applyFont="1" applyFill="1" applyBorder="1" applyAlignment="1">
      <x:alignment vertical="center" wrapText="1"/>
    </x:xf>
    <x:xf numFmtId="0" fontId="11" fillId="8" borderId="0" xfId="0" applyNumberFormat="1" applyFont="1" applyFill="1" applyBorder="1" applyAlignment="1">
      <x:alignment vertical="center" wrapText="1"/>
    </x:xf>
  </x:cellXfs>
  <x:cellStyles count="1">
    <x:cellStyle name="Normal" xfId="0"/>
  </x:cellStyles>
  <x:dxfs count="5">
    <x:dxf>
      <x:font>
        <x:b/>
        <x:color rgb="FFB42318"/>
      </x:font>
      <x:fill>
        <x:patternFill patternType="solid">
          <x:bgColor rgb="FFFCE8E6"/>
        </x:patternFill>
      </x:fill>
    </x:dxf>
    <x:dxf>
      <x:font>
        <x:b/>
        <x:color rgb="FFB42318"/>
      </x:font>
      <x:fill>
        <x:patternFill patternType="solid">
          <x:bgColor rgb="FFFCE8E6"/>
        </x:patternFill>
      </x:fill>
    </x:dxf>
    <x:dxf>
      <x:font>
        <x:b/>
        <x:color rgb="FFB42318"/>
      </x:font>
      <x:fill>
        <x:patternFill patternType="solid">
          <x:bgColor rgb="FFFCE8E6"/>
        </x:patternFill>
      </x:fill>
    </x:dxf>
    <x:dxf>
      <x:font>
        <x:b/>
        <x:color rgb="FFB42318"/>
      </x:font>
      <x:fill>
        <x:patternFill patternType="solid">
          <x:bgColor rgb="FFFCE8E6"/>
        </x:patternFill>
      </x:fill>
    </x:dxf>
    <x:dxf>
      <x:font>
        <x:b/>
        <x:color rgb="FFB42318"/>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a28eb657254318" /><Relationship Type="http://schemas.openxmlformats.org/officeDocument/2006/relationships/theme" Target="/xl/theme/theme1.xml" Id="R6595ba9a7e414270" /><Relationship Type="http://schemas.openxmlformats.org/officeDocument/2006/relationships/sharedStrings" Target="/xl/sharedStrings.xml" Id="R01d2c6af00884c0c" /><Relationship Type="http://schemas.openxmlformats.org/officeDocument/2006/relationships/worksheet" Target="/xl/worksheets/sheet1.xml" Id="Rb4a9766bf5474932" /><Relationship Type="http://schemas.openxmlformats.org/officeDocument/2006/relationships/worksheet" Target="/xl/worksheets/sheet2.xml" Id="Rdb51629596374c50" /><Relationship Type="http://schemas.openxmlformats.org/officeDocument/2006/relationships/worksheet" Target="/xl/worksheets/sheet3.xml" Id="R2009ebf4a97b4923" /><Relationship Type="http://schemas.openxmlformats.org/officeDocument/2006/relationships/worksheet" Target="/xl/worksheets/sheet4.xml" Id="R281565c413e44d7c" /><Relationship Type="http://schemas.openxmlformats.org/officeDocument/2006/relationships/worksheet" Target="/xl/worksheets/sheet5.xml" Id="R5f42c040be94470f" /><Relationship Type="http://schemas.openxmlformats.org/officeDocument/2006/relationships/worksheet" Target="/xl/worksheets/sheet6.xml" Id="R02c79223b9004c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8" max="8" width="22" hidden="0" customWidth="1"/>
    <x:col min="9" max="9" width="14" hidden="0" customWidth="1"/>
    <x:col min="1" max="1" width="3" hidden="0" customWidth="1"/>
    <x:col min="2" max="2" width="3" hidden="0" customWidth="1"/>
    <x:col min="3" max="3" width="42" hidden="0" customWidth="1"/>
    <x:col min="4" max="4" width="18" hidden="0" customWidth="1"/>
    <x:col min="5" max="5" width="18" hidden="0" customWidth="1"/>
    <x:col min="6" max="6" width="48" hidden="0" customWidth="1"/>
    <x:col min="7" max="7" width="70" hidden="0" customWidth="1"/>
  </x:cols>
  <x:sheetData>
    <x:row r="1">
      <x:c r="A1" s="2"/>
      <x:c r="B1" s="2"/>
      <x:c r="C1" s="2"/>
      <x:c r="D1" s="2"/>
      <x:c r="E1" s="2"/>
      <x:c r="F1" s="2"/>
      <x:c r="G1" s="2"/>
      <x:c r="H1" s="2"/>
      <x:c r="I1" s="2"/>
      <x:c r="J1" s="2"/>
      <x:c r="K1" s="2"/>
      <x:c r="L1" s="2"/>
      <x:c r="M1" s="2"/>
      <x:c r="N1" s="2"/>
    </x:row>
    <x:row r="2" ht="24" customHeight="1">
      <x:c r="A2" s="2"/>
      <x:c r="B2" s="2"/>
      <x:c r="C2" s="3" t="str">
        <x:v>UAE order-handoff + Wallet worked example</x:v>
      </x:c>
      <x:c r="D2" s="2"/>
      <x:c r="E2" s="2"/>
      <x:c r="F2" s="2"/>
      <x:c r="G2" s="2"/>
      <x:c r="H2" s="2"/>
      <x:c r="I2" s="2"/>
      <x:c r="J2" s="2"/>
      <x:c r="K2" s="2"/>
      <x:c r="L2" s="2"/>
      <x:c r="M2" s="2"/>
      <x:c r="N2" s="2"/>
    </x:row>
    <x:row r="3">
      <x:c r="A3" s="2"/>
      <x:c r="B3" s="2"/>
      <x:c r="C3" s="4" t="str">
        <x:v>Illustrative cafe economics, not an all-GCC budget. Excludes the 24 GCC extension items and non-engineering, legal, entity and hardware costs.</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t="str">
        <x:v>Case Selected:</x:v>
      </x:c>
      <x:c r="D5" s="7" t="str">
        <x:f>'Assumptions'!D5</x:f>
        <x:v>Base</x:v>
      </x:c>
      <x:c r="E5" s="2"/>
      <x:c r="F5" s="2"/>
      <x:c r="G5" s="2"/>
      <x:c r="H5" s="2"/>
      <x:c r="I5" s="2"/>
      <x:c r="J5" s="2"/>
      <x:c r="K5" s="2"/>
      <x:c r="L5" s="2"/>
      <x:c r="M5" s="2"/>
      <x:c r="N5" s="2"/>
    </x:row>
    <x:row r="6">
      <x:c r="A6" s="2"/>
      <x:c r="B6" s="2"/>
      <x:c r="C6" s="2"/>
      <x:c r="D6" s="2"/>
      <x:c r="E6" s="2"/>
      <x:c r="F6" s="2"/>
      <x:c r="G6" s="2"/>
      <x:c r="H6" s="2"/>
      <x:c r="I6" s="2"/>
      <x:c r="J6" s="2"/>
      <x:c r="K6" s="2"/>
      <x:c r="L6" s="2"/>
      <x:c r="M6" s="2"/>
      <x:c r="N6" s="2"/>
    </x:row>
    <x:row r="7">
      <x:c r="A7" s="2"/>
      <x:c r="B7" s="2"/>
      <x:c r="C7" s="49" t="str">
        <x:v>Merchant results</x:v>
      </x:c>
      <x:c r="D7" s="50"/>
      <x:c r="E7" s="50"/>
      <x:c r="F7" s="51"/>
      <x:c r="G7" s="49" t="str">
        <x:v>24-month cash ramp</x:v>
      </x:c>
      <x:c r="H7" s="50"/>
      <x:c r="I7" s="50"/>
      <x:c r="J7" s="51"/>
      <x:c r="K7" s="2"/>
      <x:c r="L7" s="2"/>
      <x:c r="M7" s="2"/>
      <x:c r="N7" s="2"/>
    </x:row>
    <x:row r="8">
      <x:c r="A8" s="2"/>
      <x:c r="B8" s="2"/>
      <x:c r="C8" s="13" t="str">
        <x:v>Metric</x:v>
      </x:c>
      <x:c r="D8" s="13" t="str">
        <x:v>Active result</x:v>
      </x:c>
      <x:c r="E8" s="13" t="str">
        <x:v>Unit</x:v>
      </x:c>
      <x:c r="F8" s="2"/>
      <x:c r="G8" s="13" t="str">
        <x:v>Metric</x:v>
      </x:c>
      <x:c r="H8" s="13" t="str">
        <x:v>Active result</x:v>
      </x:c>
      <x:c r="I8" s="13" t="str">
        <x:v>Unit</x:v>
      </x:c>
      <x:c r="J8" s="2"/>
      <x:c r="K8" s="2"/>
      <x:c r="L8" s="2"/>
      <x:c r="M8" s="2"/>
      <x:c r="N8" s="2"/>
    </x:row>
    <x:row r="9">
      <x:c r="A9" s="2"/>
      <x:c r="B9" s="2"/>
      <x:c r="C9" s="2" t="str">
        <x:v>Merchant net cash contribution</x:v>
      </x:c>
      <x:c r="D9" s="34" t="n">
        <x:f>'Merchant model'!D21</x:f>
        <x:v>600</x:v>
      </x:c>
      <x:c r="E9" s="2" t="str">
        <x:v>AED/month</x:v>
      </x:c>
      <x:c r="F9" s="2"/>
      <x:c r="G9" s="2" t="str">
        <x:v>Minimum closing cash</x:v>
      </x:c>
      <x:c r="H9" s="34" t="n">
        <x:f>MIN('Cash ramp'!D22:AA22)</x:f>
        <x:v>-76090.8140584362</x:v>
      </x:c>
      <x:c r="I9" s="2" t="str">
        <x:v>AED</x:v>
      </x:c>
      <x:c r="J9" s="2"/>
      <x:c r="K9" s="2"/>
      <x:c r="L9" s="2"/>
      <x:c r="M9" s="2"/>
      <x:c r="N9" s="2"/>
    </x:row>
    <x:row r="10">
      <x:c r="A10" s="2"/>
      <x:c r="B10" s="2"/>
      <x:c r="C10" s="2" t="str">
        <x:v>Break-even extra orders</x:v>
      </x:c>
      <x:c r="D10" s="34" t="n">
        <x:f>'Merchant model'!D22</x:f>
        <x:v>78.97435897435898</x:v>
      </x:c>
      <x:c r="E10" s="2" t="str">
        <x:v>orders</x:v>
      </x:c>
      <x:c r="F10" s="2"/>
      <x:c r="G10" s="2" t="str">
        <x:v>Month 24 ending active locations</x:v>
      </x:c>
      <x:c r="H10" s="36" t="n">
        <x:f>'Cash ramp'!AA11</x:f>
        <x:v>58.58497004443337</x:v>
      </x:c>
      <x:c r="I10" s="2" t="str">
        <x:v>locations</x:v>
      </x:c>
      <x:c r="J10" s="2"/>
      <x:c r="K10" s="2"/>
      <x:c r="L10" s="2"/>
      <x:c r="M10" s="2"/>
      <x:c r="N10" s="2"/>
    </x:row>
    <x:row r="11">
      <x:c r="A11" s="2"/>
      <x:c r="B11" s="2"/>
      <x:c r="C11" s="2" t="str">
        <x:v>Pickup-only net cash contribution</x:v>
      </x:c>
      <x:c r="D11" s="34" t="n">
        <x:f>'Merchant model'!D23</x:f>
        <x:v>-532.5</x:v>
      </x:c>
      <x:c r="E11" s="2" t="str">
        <x:v>AED/month</x:v>
      </x:c>
      <x:c r="F11" s="2"/>
      <x:c r="G11" s="2" t="str">
        <x:v>Month 24 closing cash</x:v>
      </x:c>
      <x:c r="H11" s="34" t="n">
        <x:f>'Cash ramp'!AA22</x:f>
        <x:v>-58301.97378753546</x:v>
      </x:c>
      <x:c r="I11" s="2" t="str">
        <x:v>AED</x:v>
      </x:c>
      <x:c r="J11" s="2"/>
      <x:c r="K11" s="2"/>
      <x:c r="L11" s="2"/>
      <x:c r="M11" s="2"/>
      <x:c r="N11" s="2"/>
    </x:row>
    <x:row r="12">
      <x:c r="A12" s="2"/>
      <x:c r="B12" s="2"/>
      <x:c r="C12" s="2" t="str">
        <x:v>Released capacity (hours) / valued capacity (AED)</x:v>
      </x:c>
      <x:c r="D12" s="36" t="n">
        <x:f>'Merchant model'!D24</x:f>
        <x:v>2.6666666666666665</x:v>
      </x:c>
      <x:c r="E12" s="34" t="n">
        <x:f>'Merchant model'!D25</x:f>
        <x:v>93.33333333333333</x:v>
      </x:c>
      <x:c r="F12" s="2"/>
      <x:c r="G12" s="2" t="str">
        <x:v>First positive operating month before one-time build</x:v>
      </x:c>
      <x:c r="H12" s="2" t="n">
        <x:f>IF('Cash ramp'!D18&gt;0,1,IF('Cash ramp'!E18&gt;0,2,IF('Cash ramp'!F18&gt;0,3,IF('Cash ramp'!G18&gt;0,4,IF('Cash ramp'!H18&gt;0,5,IF('Cash ramp'!I18&gt;0,6,IF('Cash ramp'!J18&gt;0,7,IF('Cash ramp'!K18&gt;0,8,IF('Cash ramp'!L18&gt;0,9,IF('Cash ramp'!M18&gt;0,10,IF('Cash ramp'!N18&gt;0,11,IF('Cash ramp'!O18&gt;0,12,IF('Cash ramp'!P18&gt;0,13,IF('Cash ramp'!Q18&gt;0,14,IF('Cash ramp'!R18&gt;0,15,IF('Cash ramp'!S18&gt;0,16,IF('Cash ramp'!T18&gt;0,17,IF('Cash ramp'!U18&gt;0,18,IF('Cash ramp'!V18&gt;0,19,IF('Cash ramp'!W18&gt;0,20,IF('Cash ramp'!X18&gt;0,21,IF('Cash ramp'!Y18&gt;0,22,IF('Cash ramp'!Z18&gt;0,23,IF('Cash ramp'!AA18&gt;0,24,"None"))))))))))))))))))))))))</x:f>
        <x:v>19</x:v>
      </x:c>
      <x:c r="I12" s="2" t="str">
        <x:v>month</x:v>
      </x:c>
      <x:c r="J12" s="2"/>
      <x:c r="K12" s="2"/>
      <x:c r="L12" s="2"/>
      <x:c r="M12" s="2"/>
      <x:c r="N12" s="2"/>
    </x:row>
    <x:row r="13">
      <x:c r="A13" s="2"/>
      <x:c r="B13" s="2"/>
      <x:c r="C13" s="2"/>
      <x:c r="D13" s="2"/>
      <x:c r="E13" s="2"/>
      <x:c r="F13" s="2"/>
      <x:c r="G13" s="2" t="str">
        <x:v>Minimum funding gap before safety buffer</x:v>
      </x:c>
      <x:c r="H13" s="34" t="n">
        <x:f>MAX(0,-MIN('Cash ramp'!D22:AA22))</x:f>
        <x:v>76090.8140584362</x:v>
      </x:c>
      <x:c r="I13" s="2" t="str">
        <x:v>AED</x:v>
      </x:c>
      <x:c r="J13" s="2"/>
      <x:c r="K13" s="2"/>
      <x:c r="L13" s="2"/>
      <x:c r="M13" s="2"/>
      <x:c r="N13" s="2"/>
    </x:row>
    <x:row r="14">
      <x:c r="A14" s="2"/>
      <x:c r="B14" s="2"/>
      <x:c r="C14" s="2"/>
      <x:c r="D14" s="2"/>
      <x:c r="E14" s="2"/>
      <x:c r="F14" s="2"/>
      <x:c r="G14" s="2"/>
      <x:c r="H14" s="2"/>
      <x:c r="I14" s="2"/>
      <x:c r="J14" s="2"/>
      <x:c r="K14" s="2"/>
      <x:c r="L14" s="2"/>
      <x:c r="M14" s="2"/>
      <x:c r="N14" s="2"/>
    </x:row>
    <x:row r="15">
      <x:c r="A15" s="2"/>
      <x:c r="B15" s="2"/>
      <x:c r="C15" s="49" t="str">
        <x:v>SaaS results</x:v>
      </x:c>
      <x:c r="D15" s="50"/>
      <x:c r="E15" s="50"/>
      <x:c r="F15" s="51"/>
      <x:c r="G15" s="2"/>
      <x:c r="H15" s="2"/>
      <x:c r="I15" s="2"/>
      <x:c r="J15" s="2"/>
      <x:c r="K15" s="2"/>
      <x:c r="L15" s="2"/>
      <x:c r="M15" s="2"/>
      <x:c r="N15" s="2"/>
    </x:row>
    <x:row r="16">
      <x:c r="A16" s="2"/>
      <x:c r="B16" s="2"/>
      <x:c r="C16" s="13" t="str">
        <x:v>Metric</x:v>
      </x:c>
      <x:c r="D16" s="13" t="str">
        <x:v>Active result</x:v>
      </x:c>
      <x:c r="E16" s="13" t="str">
        <x:v>Unit</x:v>
      </x:c>
      <x:c r="F16" s="2"/>
      <x:c r="G16" s="2"/>
      <x:c r="H16" s="2"/>
      <x:c r="I16" s="2"/>
      <x:c r="J16" s="2"/>
      <x:c r="K16" s="2"/>
      <x:c r="L16" s="2"/>
      <x:c r="M16" s="2"/>
      <x:c r="N16" s="2"/>
    </x:row>
    <x:row r="17">
      <x:c r="A17" s="2"/>
      <x:c r="B17" s="2"/>
      <x:c r="C17" s="2" t="str">
        <x:v>Sustainable contribution per merchant</x:v>
      </x:c>
      <x:c r="D17" s="34" t="n">
        <x:f>'SaaS model'!D21</x:f>
        <x:v>328.386</x:v>
      </x:c>
      <x:c r="E17" s="2" t="str">
        <x:v>AED/month</x:v>
      </x:c>
      <x:c r="F17" s="2"/>
      <x:c r="G17" s="2"/>
      <x:c r="H17" s="2"/>
      <x:c r="I17" s="2"/>
      <x:c r="J17" s="2"/>
      <x:c r="K17" s="2"/>
      <x:c r="L17" s="2"/>
      <x:c r="M17" s="2"/>
      <x:c r="N17" s="2"/>
    </x:row>
    <x:row r="18">
      <x:c r="A18" s="2"/>
      <x:c r="B18" s="2"/>
      <x:c r="C18" s="2" t="str">
        <x:v>50 merchants: net after fixed overhead</x:v>
      </x:c>
      <x:c r="D18" s="34" t="n">
        <x:f>'SaaS model'!D22</x:f>
        <x:v>13419.300000000003</x:v>
      </x:c>
      <x:c r="E18" s="2" t="str">
        <x:v>AED/month</x:v>
      </x:c>
      <x:c r="F18" s="2"/>
      <x:c r="G18" s="2"/>
      <x:c r="H18" s="2"/>
      <x:c r="I18" s="2"/>
      <x:c r="J18" s="2"/>
      <x:c r="K18" s="2"/>
      <x:c r="L18" s="2"/>
      <x:c r="M18" s="2"/>
      <x:c r="N18" s="2"/>
    </x:row>
    <x:row r="19">
      <x:c r="A19" s="2"/>
      <x:c r="B19" s="2"/>
      <x:c r="C19" s="2" t="str">
        <x:v>50 merchants: net after fixed overhead and owner return</x:v>
      </x:c>
      <x:c r="D19" s="34" t="n">
        <x:f>'SaaS model'!D23</x:f>
        <x:v>3419.300000000003</x:v>
      </x:c>
      <x:c r="E19" s="2" t="str">
        <x:v>AED/month</x:v>
      </x:c>
      <x:c r="F19" s="2"/>
      <x:c r="G19" s="2"/>
      <x:c r="H19" s="2"/>
      <x:c r="I19" s="2"/>
      <x:c r="J19" s="2"/>
      <x:c r="K19" s="2"/>
      <x:c r="L19" s="2"/>
      <x:c r="M19" s="2"/>
      <x:c r="N19" s="2"/>
    </x:row>
    <x:row r="20">
      <x:c r="A20" s="2"/>
      <x:c r="B20" s="2"/>
      <x:c r="C20" s="2" t="str">
        <x:v>100 merchants: net after fixed overhead</x:v>
      </x:c>
      <x:c r="D20" s="34" t="n">
        <x:f>'SaaS model'!D24</x:f>
        <x:v>29838.600000000006</x:v>
      </x:c>
      <x:c r="E20" s="2" t="str">
        <x:v>AED/month</x:v>
      </x:c>
      <x:c r="F20" s="2"/>
      <x:c r="G20" s="2"/>
      <x:c r="H20" s="2"/>
      <x:c r="I20" s="2"/>
      <x:c r="J20" s="2"/>
      <x:c r="K20" s="2"/>
      <x:c r="L20" s="2"/>
      <x:c r="M20" s="2"/>
      <x:c r="N20" s="2"/>
    </x:row>
    <x:row r="21">
      <x:c r="A21" s="2"/>
      <x:c r="B21" s="2"/>
      <x:c r="C21" s="2" t="str">
        <x:v>100 merchants: net after fixed overhead and owner return</x:v>
      </x:c>
      <x:c r="D21" s="34" t="n">
        <x:f>'SaaS model'!D25</x:f>
        <x:v>19838.600000000006</x:v>
      </x:c>
      <x:c r="E21" s="2" t="str">
        <x:v>AED/month</x:v>
      </x:c>
      <x:c r="F21" s="2"/>
      <x:c r="G21" s="2"/>
      <x:c r="H21" s="2"/>
      <x:c r="I21" s="2"/>
      <x:c r="J21" s="2"/>
      <x:c r="K21" s="2"/>
      <x:c r="L21" s="2"/>
      <x:c r="M21" s="2"/>
      <x:c r="N21" s="2"/>
    </x:row>
    <x:row r="22">
      <x:c r="A22" s="2"/>
      <x:c r="B22" s="2"/>
      <x:c r="C22" s="2" t="str">
        <x:v>Recurring break-even merchant count</x:v>
      </x:c>
      <x:c r="D22" s="35" t="n">
        <x:f>'SaaS model'!D26</x:f>
        <x:v>10</x:v>
      </x:c>
      <x:c r="E22" s="2" t="str">
        <x:v>merchants</x:v>
      </x:c>
      <x:c r="F22" s="2"/>
      <x:c r="G22" s="2"/>
      <x:c r="H22" s="2"/>
      <x:c r="I22" s="2"/>
      <x:c r="J22" s="2"/>
      <x:c r="K22" s="2"/>
      <x:c r="L22" s="2"/>
      <x:c r="M22" s="2"/>
      <x:c r="N22" s="2"/>
    </x:row>
    <x:row r="23">
      <x:c r="A23" s="2"/>
      <x:c r="B23" s="2"/>
      <x:c r="C23" s="2" t="str">
        <x:v>Owner return merchant count</x:v>
      </x:c>
      <x:c r="D23" s="35" t="n">
        <x:f>'SaaS model'!D27</x:f>
        <x:v>40</x:v>
      </x:c>
      <x:c r="E23" s="2" t="str">
        <x:v>merchants</x:v>
      </x:c>
      <x:c r="F23" s="2"/>
      <x:c r="G23" s="2"/>
      <x:c r="H23" s="2"/>
      <x:c r="I23" s="2"/>
      <x:c r="J23" s="2"/>
      <x:c r="K23" s="2"/>
      <x:c r="L23" s="2"/>
      <x:c r="M23" s="2"/>
      <x:c r="N23" s="2"/>
    </x:row>
    <x:row r="24" ht="30" customHeight="1">
      <x:c r="A24" s="2"/>
      <x:c r="B24" s="2"/>
      <x:c r="C24" s="32" t="str">
        <x:v>Combined-release engineering cost recovery at 100 merchants</x:v>
      </x:c>
      <x:c r="D24" s="36" t="n">
        <x:f>'SaaS model'!D32</x:f>
        <x:v>5.831372785586454</x:v>
      </x:c>
      <x:c r="E24" s="2" t="str">
        <x:v>months</x:v>
      </x:c>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ht="28" customHeight="1">
      <x:c r="A27" s="2"/>
      <x:c r="B27" s="2"/>
      <x:c r="C27" s="53" t="str">
        <x:v>Interpretation limits: UAE order-handoff + Wallet worked example, not an all-GCC budget or forecast. Excludes the 24 GCC extension items and non-engineering, legal, entity and hardware costs. Funding gap excludes safety buffer; prudent funding must exceed it. VAT collection/remittance timing and merchant recoverability are not modeled; changing the VAT driver changes processor cost, not full tax cash flow. AED 0.10 landed notification cost includes AED 0.0576 current Meta utility component plus AED 0.0424 unquoted provider reserve. Issuer cost is AED 0 because it is excluded pending quote.</x:v>
      </x:c>
      <x:c r="D27" s="2"/>
      <x:c r="E27" s="2"/>
      <x:c r="F27" s="2"/>
      <x:c r="G27" s="2"/>
      <x:c r="H27" s="2"/>
      <x:c r="I27" s="2"/>
      <x:c r="J27" s="2"/>
      <x:c r="K27" s="2"/>
      <x:c r="L27" s="2"/>
      <x:c r="M27" s="2"/>
      <x:c r="N27" s="2"/>
    </x:row>
    <x:row r="28" ht="28" customHeight="1">
      <x:c r="A28" s="2"/>
      <x:c r="B28" s="2"/>
      <x:c r="C28" s="2"/>
      <x:c r="D28" s="2"/>
      <x:c r="E28" s="2"/>
      <x:c r="F28" s="2"/>
      <x:c r="G28" s="2"/>
      <x:c r="H28" s="2"/>
      <x:c r="I28" s="2"/>
      <x:c r="J28" s="2"/>
      <x:c r="K28" s="2"/>
      <x:c r="L28" s="2"/>
      <x:c r="M28" s="2"/>
      <x:c r="N28" s="2"/>
    </x:row>
    <x:row r="29" ht="28" customHeight="1">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C27:J29"/>
  </x:mergeCells>
  <x:conditionalFormatting sqref="D9:D11">
    <x:cfRule type="cellIs" dxfId="0" priority="1" operator="lessThan">
      <x:formula>0</x:formula>
    </x:cfRule>
  </x:conditionalFormatting>
  <x:conditionalFormatting sqref="D17:D21">
    <x:cfRule type="cellIs" dxfId="1" priority="2" operator="less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2F6B8A"/>
  </x:sheetPr>
  <x:sheetViews>
    <x:sheetView showGridLines="0" workbookViewId="0">
      <x:pane ySplit="8" topLeftCell="A9" activePane="bottomLeft" state="frozen"/>
    </x:sheetView>
  </x:sheetViews>
  <x:sheetFormatPr defaultRowHeight="15"/>
  <x:cols>
    <x:col min="1" max="1" width="3" hidden="0" customWidth="1"/>
    <x:col min="2" max="2" width="3" hidden="0" customWidth="1"/>
    <x:col min="3" max="3" width="52" hidden="0" customWidth="1"/>
    <x:col min="4" max="4" width="18" hidden="0" customWidth="1"/>
    <x:col min="5" max="5" width="18" hidden="0" customWidth="1"/>
    <x:col min="6" max="6" width="48" hidden="0" customWidth="1"/>
    <x:col min="7" max="7" width="80" hidden="0" customWidth="1"/>
  </x:cols>
  <x:sheetData>
    <x:row r="1">
      <x:c r="A1" s="2"/>
      <x:c r="B1" s="2"/>
      <x:c r="C1" s="2"/>
      <x:c r="D1" s="2"/>
      <x:c r="E1" s="2"/>
      <x:c r="F1" s="2"/>
      <x:c r="G1" s="2"/>
      <x:c r="H1" s="2"/>
      <x:c r="I1" s="2"/>
      <x:c r="J1" s="2"/>
      <x:c r="K1" s="2"/>
      <x:c r="L1" s="2"/>
      <x:c r="M1" s="2"/>
      <x:c r="N1" s="2"/>
    </x:row>
    <x:row r="2" ht="24" customHeight="1">
      <x:c r="A2" s="2"/>
      <x:c r="B2" s="2"/>
      <x:c r="C2" s="3" t="str">
        <x:v>Cafe economics assumptions</x:v>
      </x:c>
      <x:c r="D2" s="2"/>
      <x:c r="E2" s="2"/>
      <x:c r="F2" s="2"/>
      <x:c r="G2" s="2"/>
      <x:c r="H2" s="2"/>
      <x:c r="I2" s="2"/>
      <x:c r="J2" s="2"/>
      <x:c r="K2" s="2"/>
      <x:c r="L2" s="2"/>
      <x:c r="M2" s="2"/>
      <x:c r="N2" s="2"/>
    </x:row>
    <x:row r="3">
      <x:c r="A3" s="2"/>
      <x:c r="B3" s="2"/>
      <x:c r="C3" s="4" t="str">
        <x:v>Illustration, not forecast. Monthly values unless stated.</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t="str">
        <x:v>Case Selected:</x:v>
      </x:c>
      <x:c r="D5" s="7" t="str">
        <x:f>CHOOSE($D$6,"Base","Downside")</x:f>
        <x:v>Base</x:v>
      </x:c>
      <x:c r="E5" s="2"/>
      <x:c r="F5" s="2"/>
      <x:c r="G5" s="2"/>
      <x:c r="H5" s="2"/>
      <x:c r="I5" s="2"/>
      <x:c r="J5" s="2"/>
      <x:c r="K5" s="2"/>
      <x:c r="L5" s="2"/>
      <x:c r="M5" s="2"/>
      <x:c r="N5" s="2"/>
    </x:row>
    <x:row r="6">
      <x:c r="A6" s="2"/>
      <x:c r="B6" s="2"/>
      <x:c r="C6" s="2" t="str">
        <x:v>Case selector (1 Base, 2 Downside)</x:v>
      </x:c>
      <x:c r="D6" s="9" t="n">
        <x:v>1</x:v>
      </x:c>
      <x:c r="E6" s="2"/>
      <x:c r="F6" s="2"/>
      <x:c r="G6" s="2"/>
      <x:c r="H6" s="2"/>
      <x:c r="I6" s="2"/>
      <x:c r="J6" s="2"/>
      <x:c r="K6" s="2"/>
      <x:c r="L6" s="2"/>
      <x:c r="M6" s="2"/>
      <x:c r="N6" s="2"/>
    </x:row>
    <x:row r="7">
      <x:c r="A7" s="2"/>
      <x:c r="B7" s="2"/>
      <x:c r="C7" s="2"/>
      <x:c r="D7" s="2"/>
      <x:c r="E7" s="2"/>
      <x:c r="F7" s="2"/>
      <x:c r="G7" s="2"/>
      <x:c r="H7" s="2"/>
      <x:c r="I7" s="2"/>
      <x:c r="J7" s="2"/>
      <x:c r="K7" s="2"/>
      <x:c r="L7" s="2"/>
      <x:c r="M7" s="2"/>
      <x:c r="N7" s="2"/>
    </x:row>
    <x:row r="8">
      <x:c r="A8" s="2"/>
      <x:c r="B8" s="2"/>
      <x:c r="C8" s="13" t="str">
        <x:v>Driver</x:v>
      </x:c>
      <x:c r="D8" s="13" t="str">
        <x:v>Active selection</x:v>
      </x:c>
      <x:c r="E8" s="13" t="str">
        <x:v>Base</x:v>
      </x:c>
      <x:c r="F8" s="13" t="str">
        <x:v>Downside</x:v>
      </x:c>
      <x:c r="G8" s="13" t="str">
        <x:v>Source / status</x:v>
      </x:c>
      <x:c r="H8" s="2"/>
      <x:c r="I8" s="2"/>
      <x:c r="J8" s="2"/>
      <x:c r="K8" s="2"/>
      <x:c r="L8" s="2"/>
      <x:c r="M8" s="2"/>
      <x:c r="N8" s="2"/>
    </x:row>
    <x:row r="9">
      <x:c r="A9" s="2"/>
      <x:c r="B9" s="2"/>
      <x:c r="C9" s="2" t="str">
        <x:v>Subscription price per location (AED)</x:v>
      </x:c>
      <x:c r="D9" s="17" t="n">
        <x:f>CHOOSE($D$6,E9,F9)</x:f>
        <x:v>399</x:v>
      </x:c>
      <x:c r="E9" s="18" t="n">
        <x:v>399</x:v>
      </x:c>
      <x:c r="F9" s="18" t="n">
        <x:v>399</x:v>
      </x:c>
      <x:c r="G9" s="2" t="str">
        <x:v>Assumed canonical price</x:v>
      </x:c>
      <x:c r="H9" s="2"/>
      <x:c r="I9" s="2"/>
      <x:c r="J9" s="2"/>
      <x:c r="K9" s="2"/>
      <x:c r="L9" s="2"/>
      <x:c r="M9" s="2"/>
      <x:c r="N9" s="2"/>
    </x:row>
    <x:row r="10">
      <x:c r="A10" s="2"/>
      <x:c r="B10" s="2"/>
      <x:c r="C10" s="2" t="str">
        <x:v>One-time setup price (AED)</x:v>
      </x:c>
      <x:c r="D10" s="17" t="n">
        <x:f>CHOOSE($D$6,E10,F10)</x:f>
        <x:v>799</x:v>
      </x:c>
      <x:c r="E10" s="18" t="n">
        <x:v>799</x:v>
      </x:c>
      <x:c r="F10" s="18" t="n">
        <x:v>799</x:v>
      </x:c>
      <x:c r="G10" s="2" t="str">
        <x:v>Assumed canonical price</x:v>
      </x:c>
      <x:c r="H10" s="2"/>
      <x:c r="I10" s="2"/>
      <x:c r="J10" s="2"/>
      <x:c r="K10" s="2"/>
      <x:c r="L10" s="2"/>
      <x:c r="M10" s="2"/>
      <x:c r="N10" s="2"/>
    </x:row>
    <x:row r="11">
      <x:c r="A11" s="2"/>
      <x:c r="B11" s="2"/>
      <x:c r="C11" s="2" t="str">
        <x:v>Total paid orders (orders)</x:v>
      </x:c>
      <x:c r="D11" s="17" t="n">
        <x:f>CHOOSE($D$6,E11,F11)</x:f>
        <x:v>6000</x:v>
      </x:c>
      <x:c r="E11" s="18" t="n">
        <x:v>6000</x:v>
      </x:c>
      <x:c r="F11" s="18" t="n">
        <x:v>6000</x:v>
      </x:c>
      <x:c r="G11" s="2" t="str">
        <x:v>Fixed illustrative cohort; no external merchant data</x:v>
      </x:c>
      <x:c r="H11" s="2"/>
      <x:c r="I11" s="2"/>
      <x:c r="J11" s="2"/>
      <x:c r="K11" s="2"/>
      <x:c r="L11" s="2"/>
      <x:c r="M11" s="2"/>
      <x:c r="N11" s="2"/>
    </x:row>
    <x:row r="12">
      <x:c r="A12" s="2"/>
      <x:c r="B12" s="2"/>
      <x:c r="C12" s="2" t="str">
        <x:v>Predefined eligible customer-order allocation (%)</x:v>
      </x:c>
      <x:c r="D12" s="20" t="n">
        <x:f>CHOOSE($D$6,E12,F12)</x:f>
        <x:v>0.25</x:v>
      </x:c>
      <x:c r="E12" s="21" t="n">
        <x:v>0.25</x:v>
      </x:c>
      <x:c r="F12" s="21" t="n">
        <x:v>0.25</x:v>
      </x:c>
      <x:c r="G12" s="2" t="str">
        <x:v>Fixed-cohort planning allocation; not measured adoption or self-selection</x:v>
      </x:c>
      <x:c r="H12" s="2"/>
      <x:c r="I12" s="2"/>
      <x:c r="J12" s="2"/>
      <x:c r="K12" s="2"/>
      <x:c r="L12" s="2"/>
      <x:c r="M12" s="2"/>
      <x:c r="N12" s="2"/>
    </x:row>
    <x:row r="13">
      <x:c r="A13" s="2"/>
      <x:c r="B13" s="2"/>
      <x:c r="C13" s="2" t="str">
        <x:v>Average ticket (AED/order)</x:v>
      </x:c>
      <x:c r="D13" s="17" t="n">
        <x:f>CHOOSE($D$6,E13,F13)</x:f>
        <x:v>25</x:v>
      </x:c>
      <x:c r="E13" s="18" t="n">
        <x:v>25</x:v>
      </x:c>
      <x:c r="F13" s="18" t="n">
        <x:v>25</x:v>
      </x:c>
      <x:c r="G13" s="2" t="str">
        <x:v>Assumed</x:v>
      </x:c>
      <x:c r="H13" s="2"/>
      <x:c r="I13" s="2"/>
      <x:c r="J13" s="2"/>
      <x:c r="K13" s="2"/>
      <x:c r="L13" s="2"/>
      <x:c r="M13" s="2"/>
      <x:c r="N13" s="2"/>
    </x:row>
    <x:row r="14">
      <x:c r="A14" s="2"/>
      <x:c r="B14" s="2"/>
      <x:c r="C14" s="2" t="str">
        <x:v>Contribution margin (%)</x:v>
      </x:c>
      <x:c r="D14" s="20" t="n">
        <x:f>CHOOSE($D$6,E14,F14)</x:f>
        <x:v>0.6</x:v>
      </x:c>
      <x:c r="E14" s="21" t="n">
        <x:v>0.6</x:v>
      </x:c>
      <x:c r="F14" s="21" t="n">
        <x:v>0.6</x:v>
      </x:c>
      <x:c r="G14" s="2" t="str">
        <x:v>Assumed</x:v>
      </x:c>
      <x:c r="H14" s="2"/>
      <x:c r="I14" s="2"/>
      <x:c r="J14" s="2"/>
      <x:c r="K14" s="2"/>
      <x:c r="L14" s="2"/>
      <x:c r="M14" s="2"/>
      <x:c r="N14" s="2"/>
    </x:row>
    <x:row r="15">
      <x:c r="A15" s="2"/>
      <x:c r="B15" s="2"/>
      <x:c r="C15" s="2" t="str">
        <x:v>Incremental lift among eligible cohort (%)</x:v>
      </x:c>
      <x:c r="D15" s="20" t="n">
        <x:f>CHOOSE($D$6,E15,F15)</x:f>
        <x:v>0.08</x:v>
      </x:c>
      <x:c r="E15" s="21" t="n">
        <x:v>0.08</x:v>
      </x:c>
      <x:c r="F15" s="21" t="n">
        <x:v>0.02</x:v>
      </x:c>
      <x:c r="G15" s="2" t="str">
        <x:v>Assumed illustration</x:v>
      </x:c>
      <x:c r="H15" s="2"/>
      <x:c r="I15" s="2"/>
      <x:c r="J15" s="2"/>
      <x:c r="K15" s="2"/>
      <x:c r="L15" s="2"/>
      <x:c r="M15" s="2"/>
      <x:c r="N15" s="2"/>
    </x:row>
    <x:row r="16">
      <x:c r="A16" s="2"/>
      <x:c r="B16" s="2"/>
      <x:c r="C16" s="2" t="str">
        <x:v>Reward face/cost per eight paid program orders (AED)</x:v>
      </x:c>
      <x:c r="D16" s="17" t="n">
        <x:f>CHOOSE($D$6,E16,F16)</x:f>
        <x:v>3</x:v>
      </x:c>
      <x:c r="E16" s="18" t="n">
        <x:v>3</x:v>
      </x:c>
      <x:c r="F16" s="18" t="n">
        <x:v>3</x:v>
      </x:c>
      <x:c r="G16" s="2" t="str">
        <x:v>Assumed; includes fulfillment labor; no breakage</x:v>
      </x:c>
      <x:c r="H16" s="2"/>
      <x:c r="I16" s="2"/>
      <x:c r="J16" s="2"/>
      <x:c r="K16" s="2"/>
      <x:c r="L16" s="2"/>
      <x:c r="M16" s="2"/>
      <x:c r="N16" s="2"/>
    </x:row>
    <x:row r="17">
      <x:c r="A17" s="2"/>
      <x:c r="B17" s="2"/>
      <x:c r="C17" s="2" t="str">
        <x:v>Paid orders per reward (orders)</x:v>
      </x:c>
      <x:c r="D17" s="17" t="n">
        <x:f>CHOOSE($D$6,E17,F17)</x:f>
        <x:v>8</x:v>
      </x:c>
      <x:c r="E17" s="18" t="n">
        <x:v>8</x:v>
      </x:c>
      <x:c r="F17" s="18" t="n">
        <x:v>8</x:v>
      </x:c>
      <x:c r="G17" s="2" t="str">
        <x:v>Assumed program rule</x:v>
      </x:c>
      <x:c r="H17" s="2"/>
      <x:c r="I17" s="2"/>
      <x:c r="J17" s="2"/>
      <x:c r="K17" s="2"/>
      <x:c r="L17" s="2"/>
      <x:c r="M17" s="2"/>
      <x:c r="N17" s="2"/>
    </x:row>
    <x:row r="18">
      <x:c r="A18" s="2"/>
      <x:c r="B18" s="2"/>
      <x:c r="C18" s="2" t="str">
        <x:v>Lost paid add-on contribution (AED/month)</x:v>
      </x:c>
      <x:c r="D18" s="17" t="n">
        <x:f>CHOOSE($D$6,E18,F18)</x:f>
        <x:v>40</x:v>
      </x:c>
      <x:c r="E18" s="18" t="n">
        <x:v>40</x:v>
      </x:c>
      <x:c r="F18" s="18" t="n">
        <x:v>40</x:v>
      </x:c>
      <x:c r="G18" s="2" t="str">
        <x:v>Assumed</x:v>
      </x:c>
      <x:c r="H18" s="2"/>
      <x:c r="I18" s="2"/>
      <x:c r="J18" s="2"/>
      <x:c r="K18" s="2"/>
      <x:c r="L18" s="2"/>
      <x:c r="M18" s="2"/>
      <x:c r="N18" s="2"/>
    </x:row>
    <x:row r="19">
      <x:c r="A19" s="2"/>
      <x:c r="B19" s="2"/>
      <x:c r="C19" s="2" t="str">
        <x:v>Extra loyalty staff administration (AED/month)</x:v>
      </x:c>
      <x:c r="D19" s="17" t="n">
        <x:f>CHOOSE($D$6,E19,F19)</x:f>
        <x:v>20</x:v>
      </x:c>
      <x:c r="E19" s="18" t="n">
        <x:v>20</x:v>
      </x:c>
      <x:c r="F19" s="18" t="n">
        <x:v>40</x:v>
      </x:c>
      <x:c r="G19" s="2" t="str">
        <x:v>Assumed</x:v>
      </x:c>
      <x:c r="H19" s="2"/>
      <x:c r="I19" s="2"/>
      <x:c r="J19" s="2"/>
      <x:c r="K19" s="2"/>
      <x:c r="L19" s="2"/>
      <x:c r="M19" s="2"/>
      <x:c r="N19" s="2"/>
    </x:row>
    <x:row r="20">
      <x:c r="A20" s="2"/>
      <x:c r="B20" s="2"/>
      <x:c r="C20" s="2" t="str">
        <x:v>Notification opt-in share of total orders (%)</x:v>
      </x:c>
      <x:c r="D20" s="20" t="n">
        <x:f>CHOOSE($D$6,E20,F20)</x:f>
        <x:v>0.25</x:v>
      </x:c>
      <x:c r="E20" s="21" t="n">
        <x:v>0.25</x:v>
      </x:c>
      <x:c r="F20" s="21" t="n">
        <x:v>0.5</x:v>
      </x:c>
      <x:c r="G20" s="2" t="str">
        <x:v>Assumed</x:v>
      </x:c>
      <x:c r="H20" s="2"/>
      <x:c r="I20" s="2"/>
      <x:c r="J20" s="2"/>
      <x:c r="K20" s="2"/>
      <x:c r="L20" s="2"/>
      <x:c r="M20" s="2"/>
      <x:c r="N20" s="2"/>
    </x:row>
    <x:row r="21">
      <x:c r="A21" s="2"/>
      <x:c r="B21" s="2"/>
      <x:c r="C21" s="2" t="str">
        <x:v>Ready messages per opted-in order (messages)</x:v>
      </x:c>
      <x:c r="D21" s="17" t="n">
        <x:f>CHOOSE($D$6,E21,F21)</x:f>
        <x:v>1</x:v>
      </x:c>
      <x:c r="E21" s="18" t="n">
        <x:v>1</x:v>
      </x:c>
      <x:c r="F21" s="18" t="n">
        <x:v>1</x:v>
      </x:c>
      <x:c r="G21" s="2" t="str">
        <x:v>Assumed</x:v>
      </x:c>
      <x:c r="H21" s="2"/>
      <x:c r="I21" s="2"/>
      <x:c r="J21" s="2"/>
      <x:c r="K21" s="2"/>
      <x:c r="L21" s="2"/>
      <x:c r="M21" s="2"/>
      <x:c r="N21" s="2"/>
    </x:row>
    <x:row r="22">
      <x:c r="A22" s="2"/>
      <x:c r="B22" s="2"/>
      <x:c r="C22" s="2" t="str">
        <x:v>Landed channel cost (AED/message)</x:v>
      </x:c>
      <x:c r="D22" s="17" t="n">
        <x:f>CHOOSE($D$6,E22,F22)</x:f>
        <x:v>0.1</x:v>
      </x:c>
      <x:c r="E22" s="18" t="n">
        <x:v>0.1</x:v>
      </x:c>
      <x:c r="F22" s="18" t="n">
        <x:v>0.1</x:v>
      </x:c>
      <x:c r="G22" s="2" t="str">
        <x:v>PLACEHOLDER — NOT PROVIDER QUOTE. Obtain current live effective rate card before launch.</x:v>
      </x:c>
      <x:c r="H22" s="2"/>
      <x:c r="I22" s="2"/>
      <x:c r="J22" s="2"/>
      <x:c r="K22" s="2"/>
      <x:c r="L22" s="2"/>
      <x:c r="M22" s="2"/>
      <x:c r="N22" s="2"/>
    </x:row>
    <x:row r="23">
      <x:c r="A23" s="2"/>
      <x:c r="B23" s="2"/>
      <x:c r="C23" s="2" t="str">
        <x:v>Message resale markup on landed cost (%)</x:v>
      </x:c>
      <x:c r="D23" s="20" t="n">
        <x:f>CHOOSE($D$6,E23,F23)</x:f>
        <x:v>0.25</x:v>
      </x:c>
      <x:c r="E23" s="21" t="n">
        <x:v>0.25</x:v>
      </x:c>
      <x:c r="F23" s="21" t="n">
        <x:v>0.25</x:v>
      </x:c>
      <x:c r="G23" s="2" t="str">
        <x:v>Assumed; usage billed separately</x:v>
      </x:c>
      <x:c r="H23" s="2"/>
      <x:c r="I23" s="2"/>
      <x:c r="J23" s="2"/>
      <x:c r="K23" s="2"/>
      <x:c r="L23" s="2"/>
      <x:c r="M23" s="2"/>
      <x:c r="N23" s="2"/>
    </x:row>
    <x:row r="24">
      <x:c r="A24" s="2"/>
      <x:c r="B24" s="2"/>
      <x:c r="C24" s="2" t="str">
        <x:v>Baseline remake rate (% of orders)</x:v>
      </x:c>
      <x:c r="D24" s="20" t="n">
        <x:f>CHOOSE($D$6,E24,F24)</x:f>
        <x:v>0.005</x:v>
      </x:c>
      <x:c r="E24" s="21" t="n">
        <x:v>0.005</x:v>
      </x:c>
      <x:c r="F24" s="21" t="n">
        <x:v>0.005</x:v>
      </x:c>
      <x:c r="G24" s="2" t="str">
        <x:v>Assumed</x:v>
      </x:c>
      <x:c r="H24" s="2"/>
      <x:c r="I24" s="2"/>
      <x:c r="J24" s="2"/>
      <x:c r="K24" s="2"/>
      <x:c r="L24" s="2"/>
      <x:c r="M24" s="2"/>
      <x:c r="N24" s="2"/>
    </x:row>
    <x:row r="25">
      <x:c r="A25" s="2"/>
      <x:c r="B25" s="2"/>
      <x:c r="C25" s="2" t="str">
        <x:v>Fulfillment waste per remake (AED)</x:v>
      </x:c>
      <x:c r="D25" s="17" t="n">
        <x:f>CHOOSE($D$6,E25,F25)</x:f>
        <x:v>6</x:v>
      </x:c>
      <x:c r="E25" s="18" t="n">
        <x:v>6</x:v>
      </x:c>
      <x:c r="F25" s="18" t="n">
        <x:v>6</x:v>
      </x:c>
      <x:c r="G25" s="2" t="str">
        <x:v>Assumed</x:v>
      </x:c>
      <x:c r="H25" s="2"/>
      <x:c r="I25" s="2"/>
      <x:c r="J25" s="2"/>
      <x:c r="K25" s="2"/>
      <x:c r="L25" s="2"/>
      <x:c r="M25" s="2"/>
      <x:c r="N25" s="2"/>
    </x:row>
    <x:row r="26">
      <x:c r="A26" s="2"/>
      <x:c r="B26" s="2"/>
      <x:c r="C26" s="2" t="str">
        <x:v>Remake reduction (%)</x:v>
      </x:c>
      <x:c r="D26" s="20" t="n">
        <x:f>CHOOSE($D$6,E26,F26)</x:f>
        <x:v>0.3</x:v>
      </x:c>
      <x:c r="E26" s="21" t="n">
        <x:v>0.3</x:v>
      </x:c>
      <x:c r="F26" s="21" t="n">
        <x:v>0.15</x:v>
      </x:c>
      <x:c r="G26" s="2" t="str">
        <x:v>Assumed</x:v>
      </x:c>
      <x:c r="H26" s="2"/>
      <x:c r="I26" s="2"/>
      <x:c r="J26" s="2"/>
      <x:c r="K26" s="2"/>
      <x:c r="L26" s="2"/>
      <x:c r="M26" s="2"/>
      <x:c r="N26" s="2"/>
    </x:row>
    <x:row r="27">
      <x:c r="A27" s="2"/>
      <x:c r="B27" s="2"/>
      <x:c r="C27" s="2" t="str">
        <x:v>Status question rate (% of orders)</x:v>
      </x:c>
      <x:c r="D27" s="20" t="n">
        <x:f>CHOOSE($D$6,E27,F27)</x:f>
        <x:v>0.2</x:v>
      </x:c>
      <x:c r="E27" s="21" t="n">
        <x:v>0.2</x:v>
      </x:c>
      <x:c r="F27" s="21" t="n">
        <x:v>0.2</x:v>
      </x:c>
      <x:c r="G27" s="2" t="str">
        <x:v>Assumed</x:v>
      </x:c>
      <x:c r="H27" s="2"/>
      <x:c r="I27" s="2"/>
      <x:c r="J27" s="2"/>
      <x:c r="K27" s="2"/>
      <x:c r="L27" s="2"/>
      <x:c r="M27" s="2"/>
      <x:c r="N27" s="2"/>
    </x:row>
    <x:row r="28">
      <x:c r="A28" s="2"/>
      <x:c r="B28" s="2"/>
      <x:c r="C28" s="2" t="str">
        <x:v>Seconds per status question (seconds)</x:v>
      </x:c>
      <x:c r="D28" s="17" t="n">
        <x:f>CHOOSE($D$6,E28,F28)</x:f>
        <x:v>20</x:v>
      </x:c>
      <x:c r="E28" s="18" t="n">
        <x:v>20</x:v>
      </x:c>
      <x:c r="F28" s="18" t="n">
        <x:v>20</x:v>
      </x:c>
      <x:c r="G28" s="2" t="str">
        <x:v>Assumed</x:v>
      </x:c>
      <x:c r="H28" s="2"/>
      <x:c r="I28" s="2"/>
      <x:c r="J28" s="2"/>
      <x:c r="K28" s="2"/>
      <x:c r="L28" s="2"/>
      <x:c r="M28" s="2"/>
      <x:c r="N28" s="2"/>
    </x:row>
    <x:row r="29">
      <x:c r="A29" s="2"/>
      <x:c r="B29" s="2"/>
      <x:c r="C29" s="2" t="str">
        <x:v>Status question reduction (%)</x:v>
      </x:c>
      <x:c r="D29" s="20" t="n">
        <x:f>CHOOSE($D$6,E29,F29)</x:f>
        <x:v>0.4</x:v>
      </x:c>
      <x:c r="E29" s="21" t="n">
        <x:v>0.4</x:v>
      </x:c>
      <x:c r="F29" s="21" t="n">
        <x:v>0.2</x:v>
      </x:c>
      <x:c r="G29" s="2" t="str">
        <x:v>Assumed</x:v>
      </x:c>
      <x:c r="H29" s="2"/>
      <x:c r="I29" s="2"/>
      <x:c r="J29" s="2"/>
      <x:c r="K29" s="2"/>
      <x:c r="L29" s="2"/>
      <x:c r="M29" s="2"/>
      <x:c r="N29" s="2"/>
    </x:row>
    <x:row r="30">
      <x:c r="A30" s="2"/>
      <x:c r="B30" s="2"/>
      <x:c r="C30" s="2" t="str">
        <x:v>Staff labor value (AED/hour)</x:v>
      </x:c>
      <x:c r="D30" s="17" t="n">
        <x:f>CHOOSE($D$6,E30,F30)</x:f>
        <x:v>35</x:v>
      </x:c>
      <x:c r="E30" s="18" t="n">
        <x:v>35</x:v>
      </x:c>
      <x:c r="F30" s="18" t="n">
        <x:v>35</x:v>
      </x:c>
      <x:c r="G30" s="2" t="str">
        <x:v>Assumed; capacity value only</x:v>
      </x:c>
      <x:c r="H30" s="2"/>
      <x:c r="I30" s="2"/>
      <x:c r="J30" s="2"/>
      <x:c r="K30" s="2"/>
      <x:c r="L30" s="2"/>
      <x:c r="M30" s="2"/>
      <x:c r="N30" s="2"/>
    </x:row>
    <x:row r="31">
      <x:c r="A31" s="2"/>
      <x:c r="B31" s="2"/>
      <x:c r="C31" s="2" t="str">
        <x:v>Recurring domestic processing variable fee (%)</x:v>
      </x:c>
      <x:c r="D31" s="20" t="n">
        <x:f>CHOOSE($D$6,E31,F31)</x:f>
        <x:v>0.036</x:v>
      </x:c>
      <x:c r="E31" s="21" t="n">
        <x:v>0.036</x:v>
      </x:c>
      <x:c r="F31" s="21" t="n">
        <x:v>0.036</x:v>
      </x:c>
      <x:c r="G31" s="2" t="str">
        <x:v>Stripe UAE: 2.9% card processing plus Billing 0.7%; recurring billed amount only</x:v>
      </x:c>
      <x:c r="H31" s="2"/>
      <x:c r="I31" s="2"/>
      <x:c r="J31" s="2"/>
      <x:c r="K31" s="2"/>
      <x:c r="L31" s="2"/>
      <x:c r="M31" s="2"/>
      <x:c r="N31" s="2"/>
    </x:row>
    <x:row r="32">
      <x:c r="A32" s="2"/>
      <x:c r="B32" s="2"/>
      <x:c r="C32" s="2" t="str">
        <x:v>One-time setup card processing variable fee (%)</x:v>
      </x:c>
      <x:c r="D32" s="20" t="n">
        <x:f>CHOOSE($D$6,E32,F32)</x:f>
        <x:v>0.029</x:v>
      </x:c>
      <x:c r="E32" s="21" t="n">
        <x:v>0.029</x:v>
      </x:c>
      <x:c r="F32" s="21" t="n">
        <x:v>0.029</x:v>
      </x:c>
      <x:c r="G32" s="2" t="str">
        <x:v>Stripe UAE domestic card processing; Billing 0.7% excluded from one-time setup</x:v>
      </x:c>
      <x:c r="H32" s="2"/>
      <x:c r="I32" s="2"/>
      <x:c r="J32" s="2"/>
      <x:c r="K32" s="2"/>
      <x:c r="L32" s="2"/>
      <x:c r="M32" s="2"/>
      <x:c r="N32" s="2"/>
    </x:row>
    <x:row r="33">
      <x:c r="A33" s="2"/>
      <x:c r="B33" s="2"/>
      <x:c r="C33" s="2" t="str">
        <x:v>Domestic card processing fixed fee (AED/charge)</x:v>
      </x:c>
      <x:c r="D33" s="17" t="n">
        <x:f>CHOOSE($D$6,E33,F33)</x:f>
        <x:v>1</x:v>
      </x:c>
      <x:c r="E33" s="18" t="n">
        <x:v>1</x:v>
      </x:c>
      <x:c r="F33" s="18" t="n">
        <x:v>1</x:v>
      </x:c>
      <x:c r="G33" s="2" t="str">
        <x:v>Stripe UAE pricing; source below</x:v>
      </x:c>
      <x:c r="H33" s="2"/>
      <x:c r="I33" s="2"/>
      <x:c r="J33" s="2"/>
      <x:c r="K33" s="2"/>
      <x:c r="L33" s="2"/>
      <x:c r="M33" s="2"/>
      <x:c r="N33" s="2"/>
    </x:row>
    <x:row r="34" ht="30" customHeight="1">
      <x:c r="A34" s="2"/>
      <x:c r="B34" s="2"/>
      <x:c r="C34" s="2" t="str">
        <x:v>VAT rate (%)</x:v>
      </x:c>
      <x:c r="D34" s="20" t="n">
        <x:f>CHOOSE($D$6,E34,F34)</x:f>
        <x:v>0</x:v>
      </x:c>
      <x:c r="E34" s="21" t="n">
        <x:v>0</x:v>
      </x:c>
      <x:c r="F34" s="21" t="n">
        <x:v>0</x:v>
      </x:c>
      <x:c r="G34" s="32" t="str">
        <x:v>VAT-exclusive planning basis; tax status unknown, does not assert lawful zero rate</x:v>
      </x:c>
      <x:c r="H34" s="2"/>
      <x:c r="I34" s="2"/>
      <x:c r="J34" s="2"/>
      <x:c r="K34" s="2"/>
      <x:c r="L34" s="2"/>
      <x:c r="M34" s="2"/>
      <x:c r="N34" s="2"/>
    </x:row>
    <x:row r="35" ht="30" customHeight="1">
      <x:c r="A35" s="2"/>
      <x:c r="B35" s="2"/>
      <x:c r="C35" s="2" t="str">
        <x:v>Per-merchant issuer account cost (AED/merchant/month)</x:v>
      </x:c>
      <x:c r="D35" s="17" t="n">
        <x:f>CHOOSE($D$6,E35,F35)</x:f>
        <x:v>0</x:v>
      </x:c>
      <x:c r="E35" s="18" t="n">
        <x:v>0</x:v>
      </x:c>
      <x:c r="F35" s="18" t="n">
        <x:v>0</x:v>
      </x:c>
      <x:c r="G35" s="32" t="str">
        <x:v>AED 0 excluded pending quote and certificate/issuer ownership verification. Do not assume one platform account covers third-party passes.</x:v>
      </x:c>
      <x:c r="H35" s="2"/>
      <x:c r="I35" s="2"/>
      <x:c r="J35" s="2"/>
      <x:c r="K35" s="2"/>
      <x:c r="L35" s="2"/>
      <x:c r="M35" s="2"/>
      <x:c r="N35" s="2"/>
    </x:row>
    <x:row r="36">
      <x:c r="A36" s="2"/>
      <x:c r="B36" s="2"/>
      <x:c r="C36" s="2" t="str">
        <x:v>Variable core usage and wallet reserve (AED/merchant)</x:v>
      </x:c>
      <x:c r="D36" s="17" t="n">
        <x:f>CHOOSE($D$6,E36,F36)</x:f>
        <x:v>20</x:v>
      </x:c>
      <x:c r="E36" s="18" t="n">
        <x:v>20</x:v>
      </x:c>
      <x:c r="F36" s="18" t="n">
        <x:v>35</x:v>
      </x:c>
      <x:c r="G36" s="2" t="str">
        <x:v>Assumed beyond shared infrastructure</x:v>
      </x:c>
      <x:c r="H36" s="2"/>
      <x:c r="I36" s="2"/>
      <x:c r="J36" s="2"/>
      <x:c r="K36" s="2"/>
      <x:c r="L36" s="2"/>
      <x:c r="M36" s="2"/>
      <x:c r="N36" s="2"/>
    </x:row>
    <x:row r="37">
      <x:c r="A37" s="2"/>
      <x:c r="B37" s="2"/>
      <x:c r="C37" s="2" t="str">
        <x:v>Support hours (hours/merchant)</x:v>
      </x:c>
      <x:c r="D37" s="17" t="n">
        <x:f>CHOOSE($D$6,E37,F37)</x:f>
        <x:v>0.75</x:v>
      </x:c>
      <x:c r="E37" s="18" t="n">
        <x:v>0.75</x:v>
      </x:c>
      <x:c r="F37" s="18" t="n">
        <x:v>2</x:v>
      </x:c>
      <x:c r="G37" s="2" t="str">
        <x:v>Assumed</x:v>
      </x:c>
      <x:c r="H37" s="2"/>
      <x:c r="I37" s="2"/>
      <x:c r="J37" s="2"/>
      <x:c r="K37" s="2"/>
      <x:c r="L37" s="2"/>
      <x:c r="M37" s="2"/>
      <x:c r="N37" s="2"/>
    </x:row>
    <x:row r="38">
      <x:c r="A38" s="2"/>
      <x:c r="B38" s="2"/>
      <x:c r="C38" s="2" t="str">
        <x:v>Support labor rate (AED/hour)</x:v>
      </x:c>
      <x:c r="D38" s="17" t="n">
        <x:f>CHOOSE($D$6,E38,F38)</x:f>
        <x:v>60</x:v>
      </x:c>
      <x:c r="E38" s="18" t="n">
        <x:v>60</x:v>
      </x:c>
      <x:c r="F38" s="18" t="n">
        <x:v>60</x:v>
      </x:c>
      <x:c r="G38" s="2" t="str">
        <x:v>Assumed</x:v>
      </x:c>
      <x:c r="H38" s="2"/>
      <x:c r="I38" s="2"/>
      <x:c r="J38" s="2"/>
      <x:c r="K38" s="2"/>
      <x:c r="L38" s="2"/>
      <x:c r="M38" s="2"/>
      <x:c r="N38" s="2"/>
    </x:row>
    <x:row r="39">
      <x:c r="A39" s="2"/>
      <x:c r="B39" s="2"/>
      <x:c r="C39" s="2" t="str">
        <x:v>Customer acquisition cost (AED/merchant)</x:v>
      </x:c>
      <x:c r="D39" s="17" t="n">
        <x:f>CHOOSE($D$6,E39,F39)</x:f>
        <x:v>700</x:v>
      </x:c>
      <x:c r="E39" s="18" t="n">
        <x:v>700</x:v>
      </x:c>
      <x:c r="F39" s="18" t="n">
        <x:v>1400</x:v>
      </x:c>
      <x:c r="G39" s="2" t="str">
        <x:v>Assumed; includes sales labor</x:v>
      </x:c>
      <x:c r="H39" s="2"/>
      <x:c r="I39" s="2"/>
      <x:c r="J39" s="2"/>
      <x:c r="K39" s="2"/>
      <x:c r="L39" s="2"/>
      <x:c r="M39" s="2"/>
      <x:c r="N39" s="2"/>
    </x:row>
    <x:row r="40">
      <x:c r="A40" s="2"/>
      <x:c r="B40" s="2"/>
      <x:c r="C40" s="2" t="str">
        <x:v>Monthly churn (%)</x:v>
      </x:c>
      <x:c r="D40" s="20" t="n">
        <x:f>CHOOSE($D$6,E40,F40)</x:f>
        <x:v>0.03</x:v>
      </x:c>
      <x:c r="E40" s="21" t="n">
        <x:v>0.03</x:v>
      </x:c>
      <x:c r="F40" s="21" t="n">
        <x:v>0.06</x:v>
      </x:c>
      <x:c r="G40" s="2" t="str">
        <x:v>Assumed</x:v>
      </x:c>
      <x:c r="H40" s="2"/>
      <x:c r="I40" s="2"/>
      <x:c r="J40" s="2"/>
      <x:c r="K40" s="2"/>
      <x:c r="L40" s="2"/>
      <x:c r="M40" s="2"/>
      <x:c r="N40" s="2"/>
    </x:row>
    <x:row r="41">
      <x:c r="A41" s="2"/>
      <x:c r="B41" s="2"/>
      <x:c r="C41" s="2" t="str">
        <x:v>Onboarding cost excluding payment processing (AED/merchant)</x:v>
      </x:c>
      <x:c r="D41" s="17" t="n">
        <x:f>CHOOSE($D$6,E41,F41)</x:f>
        <x:v>500</x:v>
      </x:c>
      <x:c r="E41" s="18" t="n">
        <x:v>500</x:v>
      </x:c>
      <x:c r="F41" s="18" t="n">
        <x:v>1000</x:v>
      </x:c>
      <x:c r="G41" s="2" t="str">
        <x:v>Assumed; includes materials and valued labor; payment processing modeled separately</x:v>
      </x:c>
      <x:c r="H41" s="2"/>
      <x:c r="I41" s="2"/>
      <x:c r="J41" s="2"/>
      <x:c r="K41" s="2"/>
      <x:c r="L41" s="2"/>
      <x:c r="M41" s="2"/>
      <x:c r="N41" s="2"/>
    </x:row>
    <x:row r="42">
      <x:c r="A42" s="2"/>
      <x:c r="B42" s="2"/>
      <x:c r="C42" s="2" t="str">
        <x:v>Fixed overhead (AED/month)</x:v>
      </x:c>
      <x:c r="D42" s="17" t="n">
        <x:f>CHOOSE($D$6,E42,F42)</x:f>
        <x:v>3000</x:v>
      </x:c>
      <x:c r="E42" s="18" t="n">
        <x:v>3000</x:v>
      </x:c>
      <x:c r="F42" s="18" t="n">
        <x:v>3000</x:v>
      </x:c>
      <x:c r="G42" s="2" t="str">
        <x:v>Assumed; AED 1,000 shared infrastructure + AED 2,000 other. Allows PITR; not a quote.</x:v>
      </x:c>
      <x:c r="H42" s="2"/>
      <x:c r="I42" s="2"/>
      <x:c r="J42" s="2"/>
      <x:c r="K42" s="2"/>
      <x:c r="L42" s="2"/>
      <x:c r="M42" s="2"/>
      <x:c r="N42" s="2"/>
    </x:row>
    <x:row r="43">
      <x:c r="A43" s="2"/>
      <x:c r="B43" s="2"/>
      <x:c r="C43" s="2" t="str">
        <x:v>Owner return target / draw (AED/month)</x:v>
      </x:c>
      <x:c r="D43" s="17" t="n">
        <x:f>CHOOSE($D$6,E43,F43)</x:f>
        <x:v>10000</x:v>
      </x:c>
      <x:c r="E43" s="18" t="n">
        <x:v>10000</x:v>
      </x:c>
      <x:c r="F43" s="18" t="n">
        <x:v>10000</x:v>
      </x:c>
      <x:c r="G43" s="2" t="str">
        <x:v>Assumed above already-costed operations</x:v>
      </x:c>
      <x:c r="H43" s="2"/>
      <x:c r="I43" s="2"/>
      <x:c r="J43" s="2"/>
      <x:c r="K43" s="2"/>
      <x:c r="L43" s="2"/>
      <x:c r="M43" s="2"/>
      <x:c r="N43" s="2"/>
    </x:row>
    <x:row r="44">
      <x:c r="A44" s="2"/>
      <x:c r="B44" s="2"/>
      <x:c r="C44" s="2" t="str">
        <x:v>Combined-release engineering cost (AED)</x:v>
      </x:c>
      <x:c r="D44" s="17" t="n">
        <x:f>CHOOSE($D$6,E44,F44)</x:f>
        <x:v>174000</x:v>
      </x:c>
      <x:c r="E44" s="19" t="n">
        <x:f>E45*E46</x:f>
        <x:v>174000</x:v>
      </x:c>
      <x:c r="F44" s="19" t="n">
        <x:f>F45*F46</x:f>
        <x:v>280200</x:v>
      </x:c>
      <x:c r="G44" s="2" t="str">
        <x:v>Calculated as combined-release engineering hours × valuation rate; excludes non-engineering, legal, entity and hardware costs</x:v>
      </x:c>
      <x:c r="H44" s="2"/>
      <x:c r="I44" s="2"/>
      <x:c r="J44" s="2"/>
      <x:c r="K44" s="2"/>
      <x:c r="L44" s="2"/>
      <x:c r="M44" s="2"/>
      <x:c r="N44" s="2"/>
    </x:row>
    <x:row r="45">
      <x:c r="A45" s="2"/>
      <x:c r="B45" s="2"/>
      <x:c r="C45" s="2" t="str">
        <x:v>Combined-release engineering hours (hours)</x:v>
      </x:c>
      <x:c r="D45" s="17" t="n">
        <x:f>CHOOSE($D$6,E45,F45)</x:f>
        <x:v>1160</x:v>
      </x:c>
      <x:c r="E45" s="18" t="n">
        <x:v>1160</x:v>
      </x:c>
      <x:c r="F45" s="18" t="n">
        <x:v>1868</x:v>
      </x:c>
      <x:c r="G45" s="2" t="str">
        <x:v>Current combined pickup + Wallet + production-release engineering range; not calendar duration</x:v>
      </x:c>
      <x:c r="H45" s="2"/>
      <x:c r="I45" s="2"/>
      <x:c r="J45" s="2"/>
      <x:c r="K45" s="2"/>
      <x:c r="L45" s="2"/>
      <x:c r="M45" s="2"/>
      <x:c r="N45" s="2"/>
    </x:row>
    <x:row r="46">
      <x:c r="A46" s="2"/>
      <x:c r="B46" s="2"/>
      <x:c r="C46" s="2" t="str">
        <x:v>Valuation rate (AED/hour)</x:v>
      </x:c>
      <x:c r="D46" s="17" t="n">
        <x:f>CHOOSE($D$6,E46,F46)</x:f>
        <x:v>150</x:v>
      </x:c>
      <x:c r="E46" s="18" t="n">
        <x:v>150</x:v>
      </x:c>
      <x:c r="F46" s="18" t="n">
        <x:v>150</x:v>
      </x:c>
      <x:c r="G46" s="2" t="str">
        <x:v>Assumed</x:v>
      </x:c>
      <x:c r="H46" s="2"/>
      <x:c r="I46" s="2"/>
      <x:c r="J46" s="2"/>
      <x:c r="K46" s="2"/>
      <x:c r="L46" s="2"/>
      <x:c r="M46" s="2"/>
      <x:c r="N46" s="2"/>
    </x:row>
    <x:row r="47">
      <x:c r="A47" s="2"/>
      <x:c r="B47" s="2"/>
      <x:c r="C47" s="2" t="str">
        <x:v>New paid locations per month (locations/month)</x:v>
      </x:c>
      <x:c r="D47" s="17" t="n">
        <x:f>CHOOSE($D$6,E47,F47)</x:f>
        <x:v>4</x:v>
      </x:c>
      <x:c r="E47" s="18" t="n">
        <x:v>4</x:v>
      </x:c>
      <x:c r="F47" s="18" t="n">
        <x:v>2</x:v>
      </x:c>
      <x:c r="G47" s="2" t="str">
        <x:v>Hypothetical ramp input; not forecast</x:v>
      </x:c>
      <x:c r="H47" s="2"/>
      <x:c r="I47" s="2"/>
      <x:c r="J47" s="2"/>
      <x:c r="K47" s="2"/>
      <x:c r="L47" s="2"/>
      <x:c r="M47" s="2"/>
      <x:c r="N47" s="2"/>
    </x:row>
    <x:row r="48">
      <x:c r="A48" s="2"/>
      <x:c r="B48" s="2"/>
      <x:c r="C48" s="2" t="str">
        <x:v>Initial active locations (locations)</x:v>
      </x:c>
      <x:c r="D48" s="17" t="n">
        <x:f>CHOOSE($D$6,E48,F48)</x:f>
        <x:v>0</x:v>
      </x:c>
      <x:c r="E48" s="18" t="n">
        <x:v>0</x:v>
      </x:c>
      <x:c r="F48" s="18" t="n">
        <x:v>0</x:v>
      </x:c>
      <x:c r="G48" s="2" t="str">
        <x:v>Hypothetical ramp input</x:v>
      </x:c>
      <x:c r="H48" s="2"/>
      <x:c r="I48" s="2"/>
      <x:c r="J48" s="2"/>
      <x:c r="K48" s="2"/>
      <x:c r="L48" s="2"/>
      <x:c r="M48" s="2"/>
      <x:c r="N48" s="2"/>
    </x:row>
    <x:row r="49">
      <x:c r="A49" s="2"/>
      <x:c r="B49" s="2"/>
      <x:c r="C49" s="2" t="str">
        <x:v>Opening cash (AED)</x:v>
      </x:c>
      <x:c r="D49" s="17" t="n">
        <x:f>CHOOSE($D$6,E49,F49)</x:f>
        <x:v>250000</x:v>
      </x:c>
      <x:c r="E49" s="18" t="n">
        <x:v>250000</x:v>
      </x:c>
      <x:c r="F49" s="18" t="n">
        <x:v>250000</x:v>
      </x:c>
      <x:c r="G49" s="2" t="str">
        <x:v>Hypothetical funding input</x:v>
      </x:c>
      <x:c r="H49" s="2"/>
      <x:c r="I49" s="2"/>
      <x:c r="J49" s="2"/>
      <x:c r="K49" s="2"/>
      <x:c r="L49" s="2"/>
      <x:c r="M49" s="2"/>
      <x:c r="N49" s="2"/>
    </x:row>
    <x:row r="50">
      <x:c r="A50" s="2"/>
      <x:c r="B50" s="2"/>
      <x:c r="C50" s="2" t="str">
        <x:v>New-location first-month billing share (%)</x:v>
      </x:c>
      <x:c r="D50" s="20" t="n">
        <x:f>CHOOSE($D$6,E50,F50)</x:f>
        <x:v>0.5</x:v>
      </x:c>
      <x:c r="E50" s="21" t="n">
        <x:v>0.5</x:v>
      </x:c>
      <x:c r="F50" s="21" t="n">
        <x:v>0.5</x:v>
      </x:c>
      <x:c r="G50" s="2" t="str">
        <x:v>Explicit half-month billing assumption</x:v>
      </x:c>
      <x:c r="H50" s="2"/>
      <x:c r="I50" s="2"/>
      <x:c r="J50" s="2"/>
      <x:c r="K50" s="2"/>
      <x:c r="L50" s="2"/>
      <x:c r="M50" s="2"/>
      <x:c r="N50" s="2"/>
    </x:row>
    <x:row r="51">
      <x:c r="A51" s="2"/>
      <x:c r="B51" s="2"/>
      <x:c r="C51" s="2" t="str">
        <x:v>Commercial start month (month)</x:v>
      </x:c>
      <x:c r="D51" s="17" t="n">
        <x:f>CHOOSE($D$6,E51,F51)</x:f>
        <x:v>6</x:v>
      </x:c>
      <x:c r="E51" s="18" t="n">
        <x:v>6</x:v>
      </x:c>
      <x:c r="F51" s="18" t="n">
        <x:v>9</x:v>
      </x:c>
      <x:c r="G51" s="2" t="str">
        <x:v>Timing assumption only, roughly informed by two engineers × 60 combined productive hours/week against 1,160/1,868 hours; provider waits remain additional and unknown</x:v>
      </x:c>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2" t="str">
        <x:v>Pricing source: Stripe UAE pricing, https://stripe.com/ae/pricing (domestic cards 2.9% + AED 1; Billing 0.7% applies to recurring Billing volume). Access current terms before launch.</x:v>
      </x:c>
      <x:c r="D54" s="2"/>
      <x:c r="E54" s="2"/>
      <x:c r="F54" s="2"/>
      <x:c r="G54" s="2"/>
      <x:c r="H54" s="2"/>
      <x:c r="I54" s="2"/>
      <x:c r="J54" s="2"/>
      <x:c r="K54" s="2"/>
      <x:c r="L54" s="2"/>
      <x:c r="M54" s="2"/>
      <x:c r="N54" s="2"/>
    </x:row>
    <x:row r="55">
      <x:c r="A55" s="2"/>
      <x:c r="B55" s="2"/>
      <x:c r="C55" s="23" t="str">
        <x:v>Messaging constraint: AED 0.10 landed cost = AED 0.0576 current Meta utility component plus AED 0.0424 unquoted provider reserve. It is not a quoted total rate. Meta's 1,000 service-message free tier is not assumed applicable. SMS sender costs excluded.</x:v>
      </x:c>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C54:G54"/>
    <x:mergeCell ref="C55:G55"/>
  </x:mergeCells>
  <x:dataValidations count="1">
    <x:dataValidation type="list" sqref="D6">
      <x:formula1>"1,2"</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 hidden="0" customWidth="1"/>
    <x:col min="3" max="3" width="42" hidden="0" customWidth="1"/>
    <x:col min="4" max="4" width="18" hidden="0" customWidth="1"/>
    <x:col min="5" max="5" width="18" hidden="0" customWidth="1"/>
    <x:col min="6" max="6" width="65" hidden="0" customWidth="1"/>
    <x:col min="7" max="7" width="70" hidden="0" customWidth="1"/>
  </x:cols>
  <x:sheetData>
    <x:row r="1">
      <x:c r="A1" s="2"/>
      <x:c r="B1" s="2"/>
      <x:c r="C1" s="2"/>
      <x:c r="D1" s="2"/>
      <x:c r="E1" s="2"/>
      <x:c r="F1" s="2"/>
      <x:c r="G1" s="2"/>
      <x:c r="H1" s="2"/>
      <x:c r="I1" s="2"/>
      <x:c r="J1" s="2"/>
      <x:c r="K1" s="2"/>
      <x:c r="L1" s="2"/>
      <x:c r="M1" s="2"/>
      <x:c r="N1" s="2"/>
    </x:row>
    <x:row r="2" ht="24" customHeight="1">
      <x:c r="A2" s="2"/>
      <x:c r="B2" s="2"/>
      <x:c r="C2" s="3" t="str">
        <x:v>Merchant monthly economics</x:v>
      </x:c>
      <x:c r="D2" s="2"/>
      <x:c r="E2" s="2"/>
      <x:c r="F2" s="2"/>
      <x:c r="G2" s="2"/>
      <x:c r="H2" s="2"/>
      <x:c r="I2" s="2"/>
      <x:c r="J2" s="2"/>
      <x:c r="K2" s="2"/>
      <x:c r="L2" s="2"/>
      <x:c r="M2" s="2"/>
      <x:c r="N2" s="2"/>
    </x:row>
    <x:row r="3">
      <x:c r="A3" s="2"/>
      <x:c r="B3" s="2"/>
      <x:c r="C3" s="4" t="str">
        <x:v>Fixed 6,000-order cohort. Loyalty rewards reserved on all qualifying program orders plus incremental orders.</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t="str">
        <x:v>Case Selected:</x:v>
      </x:c>
      <x:c r="D5" s="7" t="str">
        <x:f>'Assumptions'!D5</x:f>
        <x:v>Base</x:v>
      </x:c>
      <x:c r="E5" s="2"/>
      <x:c r="F5" s="2"/>
      <x:c r="G5" s="2"/>
      <x:c r="H5" s="2"/>
      <x:c r="I5" s="2"/>
      <x:c r="J5" s="2"/>
      <x:c r="K5" s="2"/>
      <x:c r="L5" s="2"/>
      <x:c r="M5" s="2"/>
      <x:c r="N5" s="2"/>
    </x:row>
    <x:row r="6">
      <x:c r="A6" s="2"/>
      <x:c r="B6" s="2"/>
      <x:c r="C6" s="2"/>
      <x:c r="D6" s="2"/>
      <x:c r="E6" s="2"/>
      <x:c r="F6" s="2"/>
      <x:c r="G6" s="2"/>
      <x:c r="H6" s="2"/>
      <x:c r="I6" s="2"/>
      <x:c r="J6" s="2"/>
      <x:c r="K6" s="2"/>
      <x:c r="L6" s="2"/>
      <x:c r="M6" s="2"/>
      <x:c r="N6" s="2"/>
    </x:row>
    <x:row r="7">
      <x:c r="A7" s="2"/>
      <x:c r="B7" s="2"/>
      <x:c r="C7" s="13" t="str">
        <x:v>Metric</x:v>
      </x:c>
      <x:c r="D7" s="13" t="str">
        <x:v>Active value</x:v>
      </x:c>
      <x:c r="E7" s="13" t="str">
        <x:v>Unit</x:v>
      </x:c>
      <x:c r="F7" s="13" t="str">
        <x:v>Formula note</x:v>
      </x:c>
      <x:c r="G7" s="2"/>
      <x:c r="H7" s="2"/>
      <x:c r="I7" s="2"/>
      <x:c r="J7" s="2"/>
      <x:c r="K7" s="2"/>
      <x:c r="L7" s="2"/>
      <x:c r="M7" s="2"/>
      <x:c r="N7" s="2"/>
    </x:row>
    <x:row r="8">
      <x:c r="A8" s="2"/>
      <x:c r="B8" s="2"/>
      <x:c r="C8" s="2" t="str">
        <x:v>Total paid orders</x:v>
      </x:c>
      <x:c r="D8" s="24" t="n">
        <x:f>'Assumptions'!D11</x:f>
        <x:v>6000</x:v>
      </x:c>
      <x:c r="E8" s="2" t="str">
        <x:v>orders</x:v>
      </x:c>
      <x:c r="F8" s="2" t="str">
        <x:v>Canonical input</x:v>
      </x:c>
      <x:c r="G8" s="2"/>
      <x:c r="H8" s="2"/>
      <x:c r="I8" s="2"/>
      <x:c r="J8" s="2"/>
      <x:c r="K8" s="2"/>
      <x:c r="L8" s="2"/>
      <x:c r="M8" s="2"/>
      <x:c r="N8" s="2"/>
    </x:row>
    <x:row r="9">
      <x:c r="A9" s="2"/>
      <x:c r="B9" s="2"/>
      <x:c r="C9" s="2" t="str">
        <x:v>Baseline predefined eligible orders</x:v>
      </x:c>
      <x:c r="D9" s="24" t="n">
        <x:f>D8*'Assumptions'!D12</x:f>
        <x:v>1500</x:v>
      </x:c>
      <x:c r="E9" s="2" t="str">
        <x:v>orders</x:v>
      </x:c>
      <x:c r="F9" s="2" t="str">
        <x:v>Total orders × fixed eligible-order allocation; not measured adoption</x:v>
      </x:c>
      <x:c r="G9" s="2"/>
      <x:c r="H9" s="2"/>
      <x:c r="I9" s="2"/>
      <x:c r="J9" s="2"/>
      <x:c r="K9" s="2"/>
      <x:c r="L9" s="2"/>
      <x:c r="M9" s="2"/>
      <x:c r="N9" s="2"/>
    </x:row>
    <x:row r="10">
      <x:c r="A10" s="2"/>
      <x:c r="B10" s="2"/>
      <x:c r="C10" s="2" t="str">
        <x:v>Incremental paid orders</x:v>
      </x:c>
      <x:c r="D10" s="24" t="n">
        <x:f>D9*'Assumptions'!D15</x:f>
        <x:v>120</x:v>
      </x:c>
      <x:c r="E10" s="2" t="str">
        <x:v>orders</x:v>
      </x:c>
      <x:c r="F10" s="2" t="str">
        <x:v>Baseline loyalty orders × lift</x:v>
      </x:c>
      <x:c r="G10" s="2"/>
      <x:c r="H10" s="2"/>
      <x:c r="I10" s="2"/>
      <x:c r="J10" s="2"/>
      <x:c r="K10" s="2"/>
      <x:c r="L10" s="2"/>
      <x:c r="M10" s="2"/>
      <x:c r="N10" s="2"/>
    </x:row>
    <x:row r="11">
      <x:c r="A11" s="2"/>
      <x:c r="B11" s="2"/>
      <x:c r="C11" s="2" t="str">
        <x:v>Program orders budgeted for rewards</x:v>
      </x:c>
      <x:c r="D11" s="24" t="n">
        <x:f>D9+D10</x:f>
        <x:v>1620</x:v>
      </x:c>
      <x:c r="E11" s="2" t="str">
        <x:v>orders</x:v>
      </x:c>
      <x:c r="F11" s="2" t="str">
        <x:v>Baseline loyalty orders + incremental orders</x:v>
      </x:c>
      <x:c r="G11" s="2"/>
      <x:c r="H11" s="2"/>
      <x:c r="I11" s="2"/>
      <x:c r="J11" s="2"/>
      <x:c r="K11" s="2"/>
      <x:c r="L11" s="2"/>
      <x:c r="M11" s="2"/>
      <x:c r="N11" s="2"/>
    </x:row>
    <x:row r="12">
      <x:c r="A12" s="2"/>
      <x:c r="B12" s="2"/>
      <x:c r="C12" s="2" t="str">
        <x:v>Reward reserve per program order</x:v>
      </x:c>
      <x:c r="D12" s="17" t="n">
        <x:f>'Assumptions'!D16/'Assumptions'!D17</x:f>
        <x:v>0.375</x:v>
      </x:c>
      <x:c r="E12" s="2" t="str">
        <x:v>AED/order</x:v>
      </x:c>
      <x:c r="F12" s="2" t="str">
        <x:v>Reward cost ÷ paid orders per reward</x:v>
      </x:c>
      <x:c r="G12" s="2"/>
      <x:c r="H12" s="2"/>
      <x:c r="I12" s="2"/>
      <x:c r="J12" s="2"/>
      <x:c r="K12" s="2"/>
      <x:c r="L12" s="2"/>
      <x:c r="M12" s="2"/>
      <x:c r="N12" s="2"/>
    </x:row>
    <x:row r="13">
      <x:c r="A13" s="2"/>
      <x:c r="B13" s="2"/>
      <x:c r="C13" s="2" t="str">
        <x:v>Incremental order contribution</x:v>
      </x:c>
      <x:c r="D13" s="17" t="n">
        <x:f>D10*'Assumptions'!D13*'Assumptions'!D14</x:f>
        <x:v>1800</x:v>
      </x:c>
      <x:c r="E13" s="2" t="str">
        <x:v>AED</x:v>
      </x:c>
      <x:c r="F13" s="2" t="str">
        <x:v>Incremental orders × ticket × margin</x:v>
      </x:c>
      <x:c r="G13" s="2"/>
      <x:c r="H13" s="2"/>
      <x:c r="I13" s="2"/>
      <x:c r="J13" s="2"/>
      <x:c r="K13" s="2"/>
      <x:c r="L13" s="2"/>
      <x:c r="M13" s="2"/>
      <x:c r="N13" s="2"/>
    </x:row>
    <x:row r="14">
      <x:c r="A14" s="2"/>
      <x:c r="B14" s="2"/>
      <x:c r="C14" s="2" t="str">
        <x:v>Reward reserve</x:v>
      </x:c>
      <x:c r="D14" s="17" t="n">
        <x:f>D11*D12</x:f>
        <x:v>607.5</x:v>
      </x:c>
      <x:c r="E14" s="2" t="str">
        <x:v>AED</x:v>
      </x:c>
      <x:c r="F14" s="2" t="str">
        <x:v>Program orders × reward reserve per order; no breakage</x:v>
      </x:c>
      <x:c r="G14" s="2"/>
      <x:c r="H14" s="2"/>
      <x:c r="I14" s="2"/>
      <x:c r="J14" s="2"/>
      <x:c r="K14" s="2"/>
      <x:c r="L14" s="2"/>
      <x:c r="M14" s="2"/>
      <x:c r="N14" s="2"/>
    </x:row>
    <x:row r="15">
      <x:c r="A15" s="2"/>
      <x:c r="B15" s="2"/>
      <x:c r="C15" s="2" t="str">
        <x:v>Lost add-on contribution</x:v>
      </x:c>
      <x:c r="D15" s="17" t="n">
        <x:f>'Assumptions'!D18</x:f>
        <x:v>40</x:v>
      </x:c>
      <x:c r="E15" s="2" t="str">
        <x:v>AED</x:v>
      </x:c>
      <x:c r="F15" s="2" t="str">
        <x:v>Assumed cannibalization</x:v>
      </x:c>
      <x:c r="G15" s="2"/>
      <x:c r="H15" s="2"/>
      <x:c r="I15" s="2"/>
      <x:c r="J15" s="2"/>
      <x:c r="K15" s="2"/>
      <x:c r="L15" s="2"/>
      <x:c r="M15" s="2"/>
      <x:c r="N15" s="2"/>
    </x:row>
    <x:row r="16">
      <x:c r="A16" s="2"/>
      <x:c r="B16" s="2"/>
      <x:c r="C16" s="2" t="str">
        <x:v>Extra staff administration</x:v>
      </x:c>
      <x:c r="D16" s="17" t="n">
        <x:f>'Assumptions'!D19</x:f>
        <x:v>20</x:v>
      </x:c>
      <x:c r="E16" s="2" t="str">
        <x:v>AED</x:v>
      </x:c>
      <x:c r="F16" s="2" t="str">
        <x:v>Loyalty administration</x:v>
      </x:c>
      <x:c r="G16" s="2"/>
      <x:c r="H16" s="2"/>
      <x:c r="I16" s="2"/>
      <x:c r="J16" s="2"/>
      <x:c r="K16" s="2"/>
      <x:c r="L16" s="2"/>
      <x:c r="M16" s="2"/>
      <x:c r="N16" s="2"/>
    </x:row>
    <x:row r="17">
      <x:c r="A17" s="2"/>
      <x:c r="B17" s="2"/>
      <x:c r="C17" s="2" t="str">
        <x:v>Subscription fee</x:v>
      </x:c>
      <x:c r="D17" s="17" t="n">
        <x:f>'Assumptions'!D9</x:f>
        <x:v>399</x:v>
      </x:c>
      <x:c r="E17" s="2" t="str">
        <x:v>AED</x:v>
      </x:c>
      <x:c r="F17" s="2" t="str">
        <x:v>Canonical price</x:v>
      </x:c>
      <x:c r="G17" s="2"/>
      <x:c r="H17" s="2"/>
      <x:c r="I17" s="2"/>
      <x:c r="J17" s="2"/>
      <x:c r="K17" s="2"/>
      <x:c r="L17" s="2"/>
      <x:c r="M17" s="2"/>
      <x:c r="N17" s="2"/>
    </x:row>
    <x:row r="18">
      <x:c r="A18" s="2"/>
      <x:c r="B18" s="2"/>
      <x:c r="C18" s="2" t="str">
        <x:v>Ready-message units</x:v>
      </x:c>
      <x:c r="D18" s="17" t="n">
        <x:f>D8*'Assumptions'!D20*'Assumptions'!D21</x:f>
        <x:v>1500</x:v>
      </x:c>
      <x:c r="E18" s="2" t="str">
        <x:v>messages</x:v>
      </x:c>
      <x:c r="F18" s="2" t="str">
        <x:v>Total orders × opt-in share × messages/order</x:v>
      </x:c>
      <x:c r="G18" s="2"/>
      <x:c r="H18" s="2"/>
      <x:c r="I18" s="2"/>
      <x:c r="J18" s="2"/>
      <x:c r="K18" s="2"/>
      <x:c r="L18" s="2"/>
      <x:c r="M18" s="2"/>
      <x:c r="N18" s="2"/>
    </x:row>
    <x:row r="19">
      <x:c r="A19" s="2"/>
      <x:c r="B19" s="2"/>
      <x:c r="C19" s="2" t="str">
        <x:v>Merchant usage charge</x:v>
      </x:c>
      <x:c r="D19" s="17" t="n">
        <x:f>D18*'Assumptions'!D22*(1+'Assumptions'!D23)</x:f>
        <x:v>187.5</x:v>
      </x:c>
      <x:c r="E19" s="2" t="str">
        <x:v>AED</x:v>
      </x:c>
      <x:c r="F19" s="2" t="str">
        <x:v>Units × landed cost × (1 + markup); cost counted once</x:v>
      </x:c>
      <x:c r="G19" s="2"/>
      <x:c r="H19" s="2"/>
      <x:c r="I19" s="2"/>
      <x:c r="J19" s="2"/>
      <x:c r="K19" s="2"/>
      <x:c r="L19" s="2"/>
      <x:c r="M19" s="2"/>
      <x:c r="N19" s="2"/>
    </x:row>
    <x:row r="20">
      <x:c r="A20" s="2"/>
      <x:c r="B20" s="2"/>
      <x:c r="C20" s="2" t="str">
        <x:v>Avoided remake benefit</x:v>
      </x:c>
      <x:c r="D20" s="17" t="n">
        <x:f>D8*'Assumptions'!D24*'Assumptions'!D25*'Assumptions'!D26</x:f>
        <x:v>54</x:v>
      </x:c>
      <x:c r="E20" s="2" t="str">
        <x:v>AED</x:v>
      </x:c>
      <x:c r="F20" s="2" t="str">
        <x:v>Orders × remake rate × waste × reduction</x:v>
      </x:c>
      <x:c r="G20" s="2"/>
      <x:c r="H20" s="2"/>
      <x:c r="I20" s="2"/>
      <x:c r="J20" s="2"/>
      <x:c r="K20" s="2"/>
      <x:c r="L20" s="2"/>
      <x:c r="M20" s="2"/>
      <x:c r="N20" s="2"/>
    </x:row>
    <x:row r="21">
      <x:c r="A21" s="2"/>
      <x:c r="B21" s="2"/>
      <x:c r="C21" s="26" t="str">
        <x:v>Merchant net cash contribution</x:v>
      </x:c>
      <x:c r="D21" s="27" t="n">
        <x:f>D13-D14-D15-D16-D17-D19+D20</x:f>
        <x:v>600</x:v>
      </x:c>
      <x:c r="E21" s="26" t="str">
        <x:v>AED</x:v>
      </x:c>
      <x:c r="F21" s="26" t="str">
        <x:v>Incremental contribution less reward/cannibal/admin/subscription/usage plus remake benefit</x:v>
      </x:c>
      <x:c r="G21" s="2"/>
      <x:c r="H21" s="2"/>
      <x:c r="I21" s="2"/>
      <x:c r="J21" s="2"/>
      <x:c r="K21" s="2"/>
      <x:c r="L21" s="2"/>
      <x:c r="M21" s="2"/>
      <x:c r="N21" s="2"/>
    </x:row>
    <x:row r="22">
      <x:c r="A22" s="2"/>
      <x:c r="B22" s="2"/>
      <x:c r="C22" s="2" t="str">
        <x:v>Break-even extra orders</x:v>
      </x:c>
      <x:c r="D22" s="17" t="n">
        <x:f>IF(('Assumptions'!D13*'Assumptions'!D14-D12)&lt;=0,"No break-even: nonpositive unit margin",(D9*D12+D15+D16+D17+D19-D20)/('Assumptions'!D13*'Assumptions'!D14-D12))</x:f>
        <x:v>78.97435897435898</x:v>
      </x:c>
      <x:c r="E22" s="2" t="str">
        <x:v>orders</x:v>
      </x:c>
      <x:c r="F22" s="2" t="str">
        <x:v>Guarded: fixed burden ÷ (ticket contribution less reward reserve/order)</x:v>
      </x:c>
      <x:c r="G22" s="2"/>
      <x:c r="H22" s="2"/>
      <x:c r="I22" s="2"/>
      <x:c r="J22" s="2"/>
      <x:c r="K22" s="2"/>
      <x:c r="L22" s="2"/>
      <x:c r="M22" s="2"/>
      <x:c r="N22" s="2"/>
    </x:row>
    <x:row r="23">
      <x:c r="A23" s="2"/>
      <x:c r="B23" s="2"/>
      <x:c r="C23" s="28" t="str">
        <x:v>Pickup-only net cash contribution</x:v>
      </x:c>
      <x:c r="D23" s="29" t="n">
        <x:f>-D17-D19+D20</x:f>
        <x:v>-532.5</x:v>
      </x:c>
      <x:c r="E23" s="28" t="str">
        <x:v>AED</x:v>
      </x:c>
      <x:c r="F23" s="28" t="str">
        <x:v>Excludes loyalty gain, reward, cannibalization and loyalty admin; includes fee, usage and remake benefit</x:v>
      </x:c>
      <x:c r="G23" s="2"/>
      <x:c r="H23" s="2"/>
      <x:c r="I23" s="2"/>
      <x:c r="J23" s="2"/>
      <x:c r="K23" s="2"/>
      <x:c r="L23" s="2"/>
      <x:c r="M23" s="2"/>
      <x:c r="N23" s="2"/>
    </x:row>
    <x:row r="24">
      <x:c r="A24" s="2"/>
      <x:c r="B24" s="2"/>
      <x:c r="C24" s="2" t="str">
        <x:v>Released staff capacity</x:v>
      </x:c>
      <x:c r="D24" s="25" t="n">
        <x:f>D8*'Assumptions'!D27*'Assumptions'!D28*'Assumptions'!D29/3600</x:f>
        <x:v>2.6666666666666665</x:v>
      </x:c>
      <x:c r="E24" s="2" t="str">
        <x:v>hours</x:v>
      </x:c>
      <x:c r="F24" s="2" t="str">
        <x:v>Status questions × seconds × reduction ÷ 3,600</x:v>
      </x:c>
      <x:c r="G24" s="2"/>
      <x:c r="H24" s="2"/>
      <x:c r="I24" s="2"/>
      <x:c r="J24" s="2"/>
      <x:c r="K24" s="2"/>
      <x:c r="L24" s="2"/>
      <x:c r="M24" s="2"/>
      <x:c r="N24" s="2"/>
    </x:row>
    <x:row r="25">
      <x:c r="A25" s="2"/>
      <x:c r="B25" s="2"/>
      <x:c r="C25" s="30" t="str">
        <x:v>Valued capacity</x:v>
      </x:c>
      <x:c r="D25" s="31" t="n">
        <x:f>D24*'Assumptions'!D30</x:f>
        <x:v>93.33333333333333</x:v>
      </x:c>
      <x:c r="E25" s="30" t="str">
        <x:v>AED</x:v>
      </x:c>
      <x:c r="F25" s="30" t="str">
        <x:v>Released hours × staff labor value; not added to cash profit</x:v>
      </x:c>
      <x:c r="G25" s="2"/>
      <x:c r="H25" s="2"/>
      <x:c r="I25" s="2"/>
      <x:c r="J25" s="2"/>
      <x:c r="K25" s="2"/>
      <x:c r="L25" s="2"/>
      <x:c r="M25" s="2"/>
      <x:c r="N25" s="2"/>
    </x:row>
    <x:row r="26">
      <x:c r="A26" s="2"/>
      <x:c r="B26" s="2"/>
      <x:c r="C26" s="2"/>
      <x:c r="D26" s="2"/>
      <x:c r="E26" s="2"/>
      <x:c r="F26" s="2"/>
      <x:c r="G26" s="2"/>
      <x:c r="H26" s="2"/>
      <x:c r="I26" s="2"/>
      <x:c r="J26" s="2"/>
      <x:c r="K26" s="2"/>
      <x:c r="L26" s="2"/>
      <x:c r="M26" s="2"/>
      <x:c r="N26" s="2"/>
    </x:row>
    <x:row r="27" ht="30" customHeight="1">
      <x:c r="A27" s="2"/>
      <x:c r="B27" s="2"/>
      <x:c r="C27" s="33" t="str">
        <x:v>Capacity is shown separately. It is not automatic cash savings and is not double-counted with incremental orders. Pickup-only economics do not automatically justify the subscription fee.</x:v>
      </x:c>
      <x:c r="D27" s="2"/>
      <x:c r="E27" s="2"/>
      <x:c r="F27" s="2"/>
      <x:c r="G27" s="2"/>
      <x:c r="H27" s="2"/>
      <x:c r="I27" s="2"/>
      <x:c r="J27" s="2"/>
      <x:c r="K27" s="2"/>
      <x:c r="L27" s="2"/>
      <x:c r="M27" s="2"/>
      <x:c r="N27" s="2"/>
    </x:row>
    <x:row r="28" ht="30" customHeight="1">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C27:F28"/>
  </x:mergeCells>
  <x:conditionalFormatting sqref="D21:D23">
    <x:cfRule type="cellIs" dxfId="2" priority="1" operator="lessThan">
      <x:formula>0</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3" hidden="0" customWidth="1"/>
    <x:col min="2" max="2" width="3" hidden="0" customWidth="1"/>
    <x:col min="3" max="3" width="42" hidden="0" customWidth="1"/>
    <x:col min="4" max="4" width="18" hidden="0" customWidth="1"/>
    <x:col min="5" max="5" width="18" hidden="0" customWidth="1"/>
    <x:col min="6" max="6" width="65" hidden="0" customWidth="1"/>
    <x:col min="7" max="7" width="70" hidden="0" customWidth="1"/>
  </x:cols>
  <x:sheetData>
    <x:row r="1">
      <x:c r="A1" s="2"/>
      <x:c r="B1" s="2"/>
      <x:c r="C1" s="2"/>
      <x:c r="D1" s="2"/>
      <x:c r="E1" s="2"/>
      <x:c r="F1" s="2"/>
      <x:c r="G1" s="2"/>
      <x:c r="H1" s="2"/>
      <x:c r="I1" s="2"/>
      <x:c r="J1" s="2"/>
      <x:c r="K1" s="2"/>
      <x:c r="L1" s="2"/>
      <x:c r="M1" s="2"/>
      <x:c r="N1" s="2"/>
    </x:row>
    <x:row r="2" ht="24" customHeight="1">
      <x:c r="A2" s="2"/>
      <x:c r="B2" s="2"/>
      <x:c r="C2" s="3" t="str">
        <x:v>SaaS monthly unit economics</x:v>
      </x:c>
      <x:c r="D2" s="2"/>
      <x:c r="E2" s="2"/>
      <x:c r="F2" s="2"/>
      <x:c r="G2" s="2"/>
      <x:c r="H2" s="2"/>
      <x:c r="I2" s="2"/>
      <x:c r="J2" s="2"/>
      <x:c r="K2" s="2"/>
      <x:c r="L2" s="2"/>
      <x:c r="M2" s="2"/>
      <x:c r="N2" s="2"/>
    </x:row>
    <x:row r="3">
      <x:c r="A3" s="2"/>
      <x:c r="B3" s="2"/>
      <x:c r="C3" s="4" t="str">
        <x:v>Recurring economics per merchant, then portfolio scale. Setup is excluded from recurring break-even.</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t="str">
        <x:v>Case Selected:</x:v>
      </x:c>
      <x:c r="D5" s="7" t="str">
        <x:f>'Assumptions'!D5</x:f>
        <x:v>Base</x:v>
      </x:c>
      <x:c r="E5" s="2"/>
      <x:c r="F5" s="2"/>
      <x:c r="G5" s="2"/>
      <x:c r="H5" s="2"/>
      <x:c r="I5" s="2"/>
      <x:c r="J5" s="2"/>
      <x:c r="K5" s="2"/>
      <x:c r="L5" s="2"/>
      <x:c r="M5" s="2"/>
      <x:c r="N5" s="2"/>
    </x:row>
    <x:row r="6">
      <x:c r="A6" s="2"/>
      <x:c r="B6" s="2"/>
      <x:c r="C6" s="2"/>
      <x:c r="D6" s="2"/>
      <x:c r="E6" s="2"/>
      <x:c r="F6" s="2"/>
      <x:c r="G6" s="2"/>
      <x:c r="H6" s="2"/>
      <x:c r="I6" s="2"/>
      <x:c r="J6" s="2"/>
      <x:c r="K6" s="2"/>
      <x:c r="L6" s="2"/>
      <x:c r="M6" s="2"/>
      <x:c r="N6" s="2"/>
    </x:row>
    <x:row r="7">
      <x:c r="A7" s="2"/>
      <x:c r="B7" s="2"/>
      <x:c r="C7" s="13" t="str">
        <x:v>Metric</x:v>
      </x:c>
      <x:c r="D7" s="13" t="str">
        <x:v>Active value</x:v>
      </x:c>
      <x:c r="E7" s="13" t="str">
        <x:v>Unit</x:v>
      </x:c>
      <x:c r="F7" s="13" t="str">
        <x:v>Formula note</x:v>
      </x:c>
      <x:c r="G7" s="2"/>
      <x:c r="H7" s="2"/>
      <x:c r="I7" s="2"/>
      <x:c r="J7" s="2"/>
      <x:c r="K7" s="2"/>
      <x:c r="L7" s="2"/>
      <x:c r="M7" s="2"/>
      <x:c r="N7" s="2"/>
    </x:row>
    <x:row r="8">
      <x:c r="A8" s="2"/>
      <x:c r="B8" s="2"/>
      <x:c r="C8" s="2" t="str">
        <x:v>Subscription revenue</x:v>
      </x:c>
      <x:c r="D8" s="34" t="n">
        <x:f>'Assumptions'!D9</x:f>
        <x:v>399</x:v>
      </x:c>
      <x:c r="E8" s="2" t="str">
        <x:v>AED/merchant</x:v>
      </x:c>
      <x:c r="F8" s="2" t="str">
        <x:v>Canonical price</x:v>
      </x:c>
      <x:c r="G8" s="2"/>
      <x:c r="H8" s="2"/>
      <x:c r="I8" s="2"/>
      <x:c r="J8" s="2"/>
      <x:c r="K8" s="2"/>
      <x:c r="L8" s="2"/>
      <x:c r="M8" s="2"/>
      <x:c r="N8" s="2"/>
    </x:row>
    <x:row r="9">
      <x:c r="A9" s="2"/>
      <x:c r="B9" s="2"/>
      <x:c r="C9" s="2" t="str">
        <x:v>Notification units</x:v>
      </x:c>
      <x:c r="D9" s="35" t="n">
        <x:f>'Merchant model'!D18</x:f>
        <x:v>1500</x:v>
      </x:c>
      <x:c r="E9" s="2" t="str">
        <x:v>messages/merchant</x:v>
      </x:c>
      <x:c r="F9" s="2" t="str">
        <x:v>Linked to Merchant model canonical units</x:v>
      </x:c>
      <x:c r="G9" s="2"/>
      <x:c r="H9" s="2"/>
      <x:c r="I9" s="2"/>
      <x:c r="J9" s="2"/>
      <x:c r="K9" s="2"/>
      <x:c r="L9" s="2"/>
      <x:c r="M9" s="2"/>
      <x:c r="N9" s="2"/>
    </x:row>
    <x:row r="10">
      <x:c r="A10" s="2"/>
      <x:c r="B10" s="2"/>
      <x:c r="C10" s="2" t="str">
        <x:v>Notification usage revenue</x:v>
      </x:c>
      <x:c r="D10" s="34" t="n">
        <x:f>D9*'Assumptions'!D22*(1+'Assumptions'!D23)</x:f>
        <x:v>187.5</x:v>
      </x:c>
      <x:c r="E10" s="2" t="str">
        <x:v>AED/merchant</x:v>
      </x:c>
      <x:c r="F10" s="2" t="str">
        <x:v>Units × landed cost × (1 + markup)</x:v>
      </x:c>
      <x:c r="G10" s="2"/>
      <x:c r="H10" s="2"/>
      <x:c r="I10" s="2"/>
      <x:c r="J10" s="2"/>
      <x:c r="K10" s="2"/>
      <x:c r="L10" s="2"/>
      <x:c r="M10" s="2"/>
      <x:c r="N10" s="2"/>
    </x:row>
    <x:row r="11">
      <x:c r="A11" s="2"/>
      <x:c r="B11" s="2"/>
      <x:c r="C11" s="2" t="str">
        <x:v>Total billed before VAT</x:v>
      </x:c>
      <x:c r="D11" s="34" t="n">
        <x:f>D8+D10</x:f>
        <x:v>586.5</x:v>
      </x:c>
      <x:c r="E11" s="2" t="str">
        <x:v>AED/merchant</x:v>
      </x:c>
      <x:c r="F11" s="2" t="str">
        <x:v>Subscription + usage</x:v>
      </x:c>
      <x:c r="G11" s="2"/>
      <x:c r="H11" s="2"/>
      <x:c r="I11" s="2"/>
      <x:c r="J11" s="2"/>
      <x:c r="K11" s="2"/>
      <x:c r="L11" s="2"/>
      <x:c r="M11" s="2"/>
      <x:c r="N11" s="2"/>
    </x:row>
    <x:row r="12">
      <x:c r="A12" s="2"/>
      <x:c r="B12" s="2"/>
      <x:c r="C12" s="2" t="str">
        <x:v>VAT collected</x:v>
      </x:c>
      <x:c r="D12" s="34" t="n">
        <x:f>D11*'Assumptions'!D34</x:f>
        <x:v>0</x:v>
      </x:c>
      <x:c r="E12" s="2" t="str">
        <x:v>AED/merchant</x:v>
      </x:c>
      <x:c r="F12" s="2" t="str">
        <x:v>Total billed before VAT × VAT rate</x:v>
      </x:c>
      <x:c r="G12" s="2"/>
      <x:c r="H12" s="2"/>
      <x:c r="I12" s="2"/>
      <x:c r="J12" s="2"/>
      <x:c r="K12" s="2"/>
      <x:c r="L12" s="2"/>
      <x:c r="M12" s="2"/>
      <x:c r="N12" s="2"/>
    </x:row>
    <x:row r="13">
      <x:c r="A13" s="2"/>
      <x:c r="B13" s="2"/>
      <x:c r="C13" s="2" t="str">
        <x:v>Customer card charge</x:v>
      </x:c>
      <x:c r="D13" s="34" t="n">
        <x:f>D11+D12</x:f>
        <x:v>586.5</x:v>
      </x:c>
      <x:c r="E13" s="2" t="str">
        <x:v>AED/merchant</x:v>
      </x:c>
      <x:c r="F13" s="2" t="str">
        <x:v>Total billed before VAT + VAT</x:v>
      </x:c>
      <x:c r="G13" s="2"/>
      <x:c r="H13" s="2"/>
      <x:c r="I13" s="2"/>
      <x:c r="J13" s="2"/>
      <x:c r="K13" s="2"/>
      <x:c r="L13" s="2"/>
      <x:c r="M13" s="2"/>
      <x:c r="N13" s="2"/>
    </x:row>
    <x:row r="14">
      <x:c r="A14" s="2"/>
      <x:c r="B14" s="2"/>
      <x:c r="C14" s="2" t="str">
        <x:v>Landed messaging cost</x:v>
      </x:c>
      <x:c r="D14" s="34" t="n">
        <x:f>D9*'Assumptions'!D22</x:f>
        <x:v>150</x:v>
      </x:c>
      <x:c r="E14" s="2" t="str">
        <x:v>AED/merchant</x:v>
      </x:c>
      <x:c r="F14" s="2" t="str">
        <x:v>Units × landed cost</x:v>
      </x:c>
      <x:c r="G14" s="2"/>
      <x:c r="H14" s="2"/>
      <x:c r="I14" s="2"/>
      <x:c r="J14" s="2"/>
      <x:c r="K14" s="2"/>
      <x:c r="L14" s="2"/>
      <x:c r="M14" s="2"/>
      <x:c r="N14" s="2"/>
    </x:row>
    <x:row r="15">
      <x:c r="A15" s="2"/>
      <x:c r="B15" s="2"/>
      <x:c r="C15" s="2" t="str">
        <x:v>Recurring domestic processing fee</x:v>
      </x:c>
      <x:c r="D15" s="34" t="n">
        <x:f>D13*'Assumptions'!D31+'Assumptions'!D33</x:f>
        <x:v>22.113999999999997</x:v>
      </x:c>
      <x:c r="E15" s="2" t="str">
        <x:v>AED/merchant</x:v>
      </x:c>
      <x:c r="F15" s="2" t="str">
        <x:v>Recurring composite fee × customer card charge + AED 1</x:v>
      </x:c>
      <x:c r="G15" s="2"/>
      <x:c r="H15" s="2"/>
      <x:c r="I15" s="2"/>
      <x:c r="J15" s="2"/>
      <x:c r="K15" s="2"/>
      <x:c r="L15" s="2"/>
      <x:c r="M15" s="2"/>
      <x:c r="N15" s="2"/>
    </x:row>
    <x:row r="16">
      <x:c r="A16" s="2"/>
      <x:c r="B16" s="2"/>
      <x:c r="C16" s="2" t="str">
        <x:v>Variable core usage and wallet reserve</x:v>
      </x:c>
      <x:c r="D16" s="34" t="n">
        <x:f>'Assumptions'!D36</x:f>
        <x:v>20</x:v>
      </x:c>
      <x:c r="E16" s="2" t="str">
        <x:v>AED/merchant</x:v>
      </x:c>
      <x:c r="F16" s="2" t="str">
        <x:v>Beyond shared infrastructure</x:v>
      </x:c>
      <x:c r="G16" s="2"/>
      <x:c r="H16" s="2"/>
      <x:c r="I16" s="2"/>
      <x:c r="J16" s="2"/>
      <x:c r="K16" s="2"/>
      <x:c r="L16" s="2"/>
      <x:c r="M16" s="2"/>
      <x:c r="N16" s="2"/>
    </x:row>
    <x:row r="17">
      <x:c r="A17" s="2"/>
      <x:c r="B17" s="2"/>
      <x:c r="C17" s="2" t="str">
        <x:v>Per-merchant issuer account cost</x:v>
      </x:c>
      <x:c r="D17" s="34" t="n">
        <x:f>'Assumptions'!D35</x:f>
        <x:v>0</x:v>
      </x:c>
      <x:c r="E17" s="2" t="str">
        <x:v>AED/merchant</x:v>
      </x:c>
      <x:c r="F17" s="2" t="str">
        <x:v>Editable; default zero until ownership model and quote are verified</x:v>
      </x:c>
      <x:c r="G17" s="2"/>
      <x:c r="H17" s="2"/>
      <x:c r="I17" s="2"/>
      <x:c r="J17" s="2"/>
      <x:c r="K17" s="2"/>
      <x:c r="L17" s="2"/>
      <x:c r="M17" s="2"/>
      <x:c r="N17" s="2"/>
    </x:row>
    <x:row r="18">
      <x:c r="A18" s="2"/>
      <x:c r="B18" s="2"/>
      <x:c r="C18" s="2" t="str">
        <x:v>Support labor</x:v>
      </x:c>
      <x:c r="D18" s="34" t="n">
        <x:f>'Assumptions'!D37*'Assumptions'!D38</x:f>
        <x:v>45</x:v>
      </x:c>
      <x:c r="E18" s="2" t="str">
        <x:v>AED/merchant</x:v>
      </x:c>
      <x:c r="F18" s="2" t="str">
        <x:v>Support hours × labor rate</x:v>
      </x:c>
      <x:c r="G18" s="2"/>
      <x:c r="H18" s="2"/>
      <x:c r="I18" s="2"/>
      <x:c r="J18" s="2"/>
      <x:c r="K18" s="2"/>
      <x:c r="L18" s="2"/>
      <x:c r="M18" s="2"/>
      <x:c r="N18" s="2"/>
    </x:row>
    <x:row r="19">
      <x:c r="A19" s="2"/>
      <x:c r="B19" s="2"/>
      <x:c r="C19" s="2" t="str">
        <x:v>Contribution before replacement CAC</x:v>
      </x:c>
      <x:c r="D19" s="34" t="n">
        <x:f>D8+D10-D14-D15-D16-D17-D18</x:f>
        <x:v>349.386</x:v>
      </x:c>
      <x:c r="E19" s="2" t="str">
        <x:v>AED/merchant</x:v>
      </x:c>
      <x:c r="F19" s="2" t="str">
        <x:v>Revenue less messaging, processing, core variable, issuer and support</x:v>
      </x:c>
      <x:c r="G19" s="2"/>
      <x:c r="H19" s="2"/>
      <x:c r="I19" s="2"/>
      <x:c r="J19" s="2"/>
      <x:c r="K19" s="2"/>
      <x:c r="L19" s="2"/>
      <x:c r="M19" s="2"/>
      <x:c r="N19" s="2"/>
    </x:row>
    <x:row r="20">
      <x:c r="A20" s="2"/>
      <x:c r="B20" s="2"/>
      <x:c r="C20" s="2" t="str">
        <x:v>Replacement CAC</x:v>
      </x:c>
      <x:c r="D20" s="34" t="n">
        <x:f>'Assumptions'!D40*'Assumptions'!D39</x:f>
        <x:v>21</x:v>
      </x:c>
      <x:c r="E20" s="2" t="str">
        <x:v>AED/merchant</x:v>
      </x:c>
      <x:c r="F20" s="2" t="str">
        <x:v>Monthly churn × CAC</x:v>
      </x:c>
      <x:c r="G20" s="2"/>
      <x:c r="H20" s="2"/>
      <x:c r="I20" s="2"/>
      <x:c r="J20" s="2"/>
      <x:c r="K20" s="2"/>
      <x:c r="L20" s="2"/>
      <x:c r="M20" s="2"/>
      <x:c r="N20" s="2"/>
    </x:row>
    <x:row r="21">
      <x:c r="A21" s="2"/>
      <x:c r="B21" s="2"/>
      <x:c r="C21" s="26" t="str">
        <x:v>Sustainable contribution</x:v>
      </x:c>
      <x:c r="D21" s="37" t="n">
        <x:f>D19-D20</x:f>
        <x:v>328.386</x:v>
      </x:c>
      <x:c r="E21" s="26" t="str">
        <x:v>AED/merchant</x:v>
      </x:c>
      <x:c r="F21" s="26" t="str">
        <x:v>Contribution before replacement CAC less replacement CAC</x:v>
      </x:c>
      <x:c r="G21" s="2"/>
      <x:c r="H21" s="2"/>
      <x:c r="I21" s="2"/>
      <x:c r="J21" s="2"/>
      <x:c r="K21" s="2"/>
      <x:c r="L21" s="2"/>
      <x:c r="M21" s="2"/>
      <x:c r="N21" s="2"/>
    </x:row>
    <x:row r="22">
      <x:c r="A22" s="2"/>
      <x:c r="B22" s="2"/>
      <x:c r="C22" s="2" t="str">
        <x:v>Net at 50 merchants after fixed overhead</x:v>
      </x:c>
      <x:c r="D22" s="34" t="n">
        <x:f>50*D21-'Assumptions'!D42</x:f>
        <x:v>13419.300000000003</x:v>
      </x:c>
      <x:c r="E22" s="2" t="str">
        <x:v>AED/month</x:v>
      </x:c>
      <x:c r="F22" s="2" t="str">
        <x:v>50 × sustainable contribution less fixed overhead; before owner return</x:v>
      </x:c>
      <x:c r="G22" s="2"/>
      <x:c r="H22" s="2"/>
      <x:c r="I22" s="2"/>
      <x:c r="J22" s="2"/>
      <x:c r="K22" s="2"/>
      <x:c r="L22" s="2"/>
      <x:c r="M22" s="2"/>
      <x:c r="N22" s="2"/>
    </x:row>
    <x:row r="23">
      <x:c r="A23" s="2"/>
      <x:c r="B23" s="2"/>
      <x:c r="C23" s="2" t="str">
        <x:v>Net at 50 merchants after fixed overhead and owner return</x:v>
      </x:c>
      <x:c r="D23" s="34" t="n">
        <x:f>D22-'Assumptions'!D43</x:f>
        <x:v>3419.300000000003</x:v>
      </x:c>
      <x:c r="E23" s="2" t="str">
        <x:v>AED/month</x:v>
      </x:c>
      <x:c r="F23" s="2" t="str">
        <x:v>50-merchant net less owner return target</x:v>
      </x:c>
      <x:c r="G23" s="2"/>
      <x:c r="H23" s="2"/>
      <x:c r="I23" s="2"/>
      <x:c r="J23" s="2"/>
      <x:c r="K23" s="2"/>
      <x:c r="L23" s="2"/>
      <x:c r="M23" s="2"/>
      <x:c r="N23" s="2"/>
    </x:row>
    <x:row r="24">
      <x:c r="A24" s="2"/>
      <x:c r="B24" s="2"/>
      <x:c r="C24" s="26" t="str">
        <x:v>Net at 100 merchants after fixed overhead</x:v>
      </x:c>
      <x:c r="D24" s="37" t="n">
        <x:f>100*D21-'Assumptions'!D42</x:f>
        <x:v>29838.600000000006</x:v>
      </x:c>
      <x:c r="E24" s="26" t="str">
        <x:v>AED/month</x:v>
      </x:c>
      <x:c r="F24" s="26" t="str">
        <x:v>100 × sustainable contribution less fixed overhead; before owner return</x:v>
      </x:c>
      <x:c r="G24" s="2"/>
      <x:c r="H24" s="2"/>
      <x:c r="I24" s="2"/>
      <x:c r="J24" s="2"/>
      <x:c r="K24" s="2"/>
      <x:c r="L24" s="2"/>
      <x:c r="M24" s="2"/>
      <x:c r="N24" s="2"/>
    </x:row>
    <x:row r="25">
      <x:c r="A25" s="2"/>
      <x:c r="B25" s="2"/>
      <x:c r="C25" s="26" t="str">
        <x:v>Net at 100 merchants after fixed overhead and owner return</x:v>
      </x:c>
      <x:c r="D25" s="37" t="n">
        <x:f>D24-'Assumptions'!D43</x:f>
        <x:v>19838.600000000006</x:v>
      </x:c>
      <x:c r="E25" s="26" t="str">
        <x:v>AED/month</x:v>
      </x:c>
      <x:c r="F25" s="26" t="str">
        <x:v>100-merchant net less owner return target</x:v>
      </x:c>
      <x:c r="G25" s="2"/>
      <x:c r="H25" s="2"/>
      <x:c r="I25" s="2"/>
      <x:c r="J25" s="2"/>
      <x:c r="K25" s="2"/>
      <x:c r="L25" s="2"/>
      <x:c r="M25" s="2"/>
      <x:c r="N25" s="2"/>
    </x:row>
    <x:row r="26">
      <x:c r="A26" s="2"/>
      <x:c r="B26" s="2"/>
      <x:c r="C26" s="28" t="str">
        <x:v>Recurring break-even merchant count</x:v>
      </x:c>
      <x:c r="D26" s="38" t="n">
        <x:f>IF(D21&lt;=0,"No break-even: nonpositive contribution",ROUNDUP('Assumptions'!D42/D21,0))</x:f>
        <x:v>10</x:v>
      </x:c>
      <x:c r="E26" s="28" t="str">
        <x:v>merchants</x:v>
      </x:c>
      <x:c r="F26" s="28" t="str">
        <x:v>Guarded fixed overhead ÷ sustainable contribution, rounded up</x:v>
      </x:c>
      <x:c r="G26" s="2"/>
      <x:c r="H26" s="2"/>
      <x:c r="I26" s="2"/>
      <x:c r="J26" s="2"/>
      <x:c r="K26" s="2"/>
      <x:c r="L26" s="2"/>
      <x:c r="M26" s="2"/>
      <x:c r="N26" s="2"/>
    </x:row>
    <x:row r="27">
      <x:c r="A27" s="2"/>
      <x:c r="B27" s="2"/>
      <x:c r="C27" s="28" t="str">
        <x:v>Merchant count for owner return target</x:v>
      </x:c>
      <x:c r="D27" s="38" t="n">
        <x:f>IF(D21&lt;=0,"No break-even: nonpositive contribution",ROUNDUP(('Assumptions'!D42+'Assumptions'!D43)/D21,0))</x:f>
        <x:v>40</x:v>
      </x:c>
      <x:c r="E27" s="28" t="str">
        <x:v>merchants</x:v>
      </x:c>
      <x:c r="F27" s="28" t="str">
        <x:v>Guarded (fixed overhead + owner return target) ÷ sustainable contribution</x:v>
      </x:c>
      <x:c r="G27" s="2"/>
      <x:c r="H27" s="2"/>
      <x:c r="I27" s="2"/>
      <x:c r="J27" s="2"/>
      <x:c r="K27" s="2"/>
      <x:c r="L27" s="2"/>
      <x:c r="M27" s="2"/>
      <x:c r="N27" s="2"/>
    </x:row>
    <x:row r="28">
      <x:c r="A28" s="2"/>
      <x:c r="B28" s="2"/>
      <x:c r="C28" s="2" t="str">
        <x:v>CAC payback before setup economics</x:v>
      </x:c>
      <x:c r="D28" s="36" t="n">
        <x:f>IF(D21&lt;=0,"No payback: nonpositive contribution",'Assumptions'!D39/D21)</x:f>
        <x:v>2.1316377677489293</x:v>
      </x:c>
      <x:c r="E28" s="2" t="str">
        <x:v>months</x:v>
      </x:c>
      <x:c r="F28" s="2" t="str">
        <x:v>CAC ÷ sustainable contribution</x:v>
      </x:c>
      <x:c r="G28" s="2"/>
      <x:c r="H28" s="2"/>
      <x:c r="I28" s="2"/>
      <x:c r="J28" s="2"/>
      <x:c r="K28" s="2"/>
      <x:c r="L28" s="2"/>
      <x:c r="M28" s="2"/>
      <x:c r="N28" s="2"/>
    </x:row>
    <x:row r="29">
      <x:c r="A29" s="2"/>
      <x:c r="B29" s="2"/>
      <x:c r="C29" s="2" t="str">
        <x:v>Setup payment processing fee</x:v>
      </x:c>
      <x:c r="D29" s="34" t="n">
        <x:f>'Assumptions'!D10*(1+'Assumptions'!D34)*'Assumptions'!D32+'Assumptions'!D33</x:f>
        <x:v>24.171000000000003</x:v>
      </x:c>
      <x:c r="E29" s="2" t="str">
        <x:v>AED/merchant</x:v>
      </x:c>
      <x:c r="F29" s="2" t="str">
        <x:v>2.9% one-time card fee × setup charge including VAT + AED 1; no Billing fee</x:v>
      </x:c>
      <x:c r="G29" s="2"/>
      <x:c r="H29" s="2"/>
      <x:c r="I29" s="2"/>
      <x:c r="J29" s="2"/>
      <x:c r="K29" s="2"/>
      <x:c r="L29" s="2"/>
      <x:c r="M29" s="2"/>
      <x:c r="N29" s="2"/>
    </x:row>
    <x:row r="30">
      <x:c r="A30" s="2"/>
      <x:c r="B30" s="2"/>
      <x:c r="C30" s="2" t="str">
        <x:v>Net setup contribution</x:v>
      </x:c>
      <x:c r="D30" s="34" t="n">
        <x:f>'Assumptions'!D10-D29-'Assumptions'!D41</x:f>
        <x:v>274.82899999999995</x:v>
      </x:c>
      <x:c r="E30" s="2" t="str">
        <x:v>AED/merchant</x:v>
      </x:c>
      <x:c r="F30" s="2" t="str">
        <x:v>Setup fee less setup processing and onboarding cost excluding processing</x:v>
      </x:c>
      <x:c r="G30" s="2"/>
      <x:c r="H30" s="2"/>
      <x:c r="I30" s="2"/>
      <x:c r="J30" s="2"/>
      <x:c r="K30" s="2"/>
      <x:c r="L30" s="2"/>
      <x:c r="M30" s="2"/>
      <x:c r="N30" s="2"/>
    </x:row>
    <x:row r="31">
      <x:c r="A31" s="2"/>
      <x:c r="B31" s="2"/>
      <x:c r="C31" s="2" t="str">
        <x:v>CAC payback after setup economics</x:v>
      </x:c>
      <x:c r="D31" s="36" t="n">
        <x:f>IF(D21&lt;=0,"No payback: nonpositive contribution",MAX(0,'Assumptions'!D39-D30)/D21)</x:f>
        <x:v>1.2947293733594003</x:v>
      </x:c>
      <x:c r="E31" s="2" t="str">
        <x:v>months</x:v>
      </x:c>
      <x:c r="F31" s="2" t="str">
        <x:v>Remaining CAC after net setup contribution ÷ sustainable contribution</x:v>
      </x:c>
      <x:c r="G31" s="2"/>
      <x:c r="H31" s="2"/>
      <x:c r="I31" s="2"/>
      <x:c r="J31" s="2"/>
      <x:c r="K31" s="2"/>
      <x:c r="L31" s="2"/>
      <x:c r="M31" s="2"/>
      <x:c r="N31" s="2"/>
    </x:row>
    <x:row r="32">
      <x:c r="A32" s="2"/>
      <x:c r="B32" s="2"/>
      <x:c r="C32" s="2" t="str">
        <x:v>Combined-release engineering cost recovery at 100 merchants</x:v>
      </x:c>
      <x:c r="D32" s="36" t="n">
        <x:f>IF(D24&lt;=0,"No Payback",'Assumptions'!D44/D24)</x:f>
        <x:v>5.831372785586454</x:v>
      </x:c>
      <x:c r="E32" s="2" t="str">
        <x:v>months</x:v>
      </x:c>
      <x:c r="F32" s="2" t="str">
        <x:v>Engineering cost ÷ positive 100-merchant net after fixed overhead; not project payback</x:v>
      </x:c>
      <x:c r="G32" s="2"/>
      <x:c r="H32" s="2"/>
      <x:c r="I32" s="2"/>
      <x:c r="J32" s="2"/>
      <x:c r="K32" s="2"/>
      <x:c r="L32" s="2"/>
      <x:c r="M32" s="2"/>
      <x:c r="N32" s="2"/>
    </x:row>
    <x:row r="33">
      <x:c r="A33" s="2"/>
      <x:c r="B33" s="2"/>
      <x:c r="C33" s="2" t="str">
        <x:v>Combined-release engineering cost formula check</x:v>
      </x:c>
      <x:c r="D33" s="35" t="n">
        <x:f>'Assumptions'!D45*'Assumptions'!D46</x:f>
        <x:v>174000</x:v>
      </x:c>
      <x:c r="E33" s="2" t="str">
        <x:v>AED</x:v>
      </x:c>
      <x:c r="F33" s="2" t="str">
        <x:v>Engineering hours × valuation rate</x:v>
      </x:c>
      <x:c r="G33" s="2"/>
      <x:c r="H33" s="2"/>
      <x:c r="I33" s="2"/>
      <x:c r="J33" s="2"/>
      <x:c r="K33" s="2"/>
      <x:c r="L33" s="2"/>
      <x:c r="M33" s="2"/>
      <x:c r="N33" s="2"/>
    </x:row>
    <x:row r="34">
      <x:c r="A34" s="2"/>
      <x:c r="B34" s="2"/>
      <x:c r="C34" s="2"/>
      <x:c r="D34" s="2"/>
      <x:c r="E34" s="2"/>
      <x:c r="F34" s="2"/>
      <x:c r="G34" s="2"/>
      <x:c r="H34" s="2"/>
      <x:c r="I34" s="2"/>
      <x:c r="J34" s="2"/>
      <x:c r="K34" s="2"/>
      <x:c r="L34" s="2"/>
      <x:c r="M34" s="2"/>
      <x:c r="N34" s="2"/>
    </x:row>
    <x:row r="35" ht="30" customHeight="1">
      <x:c r="A35" s="2"/>
      <x:c r="B35" s="2"/>
      <x:c r="C35" s="33" t="str">
        <x:v>Recurring processing uses 3.6% plus AED 1. One-time setup uses 2.9% plus AED 1 with no Billing fee. Setup is excluded from recurring break-even. VAT collection/remittance timing and merchant recoverability are not modeled; changing the VAT driver changes processor cost, not full tax cash flow. Issuer cost is AED 0 because it is excluded pending quote.</x:v>
      </x:c>
      <x:c r="D35" s="2"/>
      <x:c r="E35" s="2"/>
      <x:c r="F35" s="2"/>
      <x:c r="G35" s="2"/>
      <x:c r="H35" s="2"/>
      <x:c r="I35" s="2"/>
      <x:c r="J35" s="2"/>
      <x:c r="K35" s="2"/>
      <x:c r="L35" s="2"/>
      <x:c r="M35" s="2"/>
      <x:c r="N35" s="2"/>
    </x:row>
    <x:row r="36" ht="30" customHeight="1">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C35:F36"/>
  </x:mergeCells>
  <x:conditionalFormatting sqref="D21:D25">
    <x:cfRule type="cellIs" dxfId="3" priority="1" operator="lessThan">
      <x:formula>0</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3" hidden="0" customWidth="1"/>
    <x:col min="2" max="2" width="3" hidden="0" customWidth="1"/>
    <x:col min="3" max="3" width="48"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s>
  <x:sheetData>
    <x:row r="1">
      <x:c r="A1" s="2"/>
      <x:c r="B1" s="2"/>
      <x:c r="C1" s="2"/>
      <x:c r="D1" s="2"/>
      <x:c r="E1" s="2"/>
      <x:c r="F1" s="2"/>
      <x:c r="G1" s="2"/>
      <x:c r="H1" s="2"/>
      <x:c r="I1" s="2"/>
      <x:c r="J1" s="2"/>
      <x:c r="K1" s="2"/>
      <x:c r="L1" s="2"/>
      <x:c r="M1" s="2"/>
      <x:c r="N1" s="2"/>
    </x:row>
    <x:row r="2" ht="24" customHeight="1">
      <x:c r="A2" s="2"/>
      <x:c r="B2" s="2"/>
      <x:c r="C2" s="3" t="str">
        <x:v>24-month cash ramp</x:v>
      </x:c>
      <x:c r="D2" s="2"/>
      <x:c r="E2" s="2"/>
      <x:c r="F2" s="2"/>
      <x:c r="G2" s="2"/>
      <x:c r="H2" s="2"/>
      <x:c r="I2" s="2"/>
      <x:c r="J2" s="2"/>
      <x:c r="K2" s="2"/>
      <x:c r="L2" s="2"/>
      <x:c r="M2" s="2"/>
      <x:c r="N2" s="2"/>
    </x:row>
    <x:row r="3">
      <x:c r="A3" s="2"/>
      <x:c r="B3" s="2"/>
      <x:c r="C3" s="4" t="str">
        <x:v>Hypothetical cohort ramp, not forecast. Commercial activity starts in Month 6 Base / Month 9 Downside.</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t="str">
        <x:v>Case Selected:</x:v>
      </x:c>
      <x:c r="D5" s="7" t="str">
        <x:f>'Assumptions'!D5</x:f>
        <x:v>Base</x:v>
      </x:c>
      <x:c r="E5" s="2"/>
      <x:c r="F5" s="2"/>
      <x:c r="G5" s="2"/>
      <x:c r="H5" s="2"/>
      <x:c r="I5" s="2"/>
      <x:c r="J5" s="2"/>
      <x:c r="K5" s="2"/>
      <x:c r="L5" s="2"/>
      <x:c r="M5" s="2"/>
      <x:c r="N5" s="2"/>
    </x:row>
    <x:row r="6">
      <x:c r="A6" s="2"/>
      <x:c r="B6" s="2"/>
      <x:c r="C6" s="2"/>
      <x:c r="D6" s="2"/>
      <x:c r="E6" s="2"/>
      <x:c r="F6" s="2"/>
      <x:c r="G6" s="2"/>
      <x:c r="H6" s="2"/>
      <x:c r="I6" s="2"/>
      <x:c r="J6" s="2"/>
      <x:c r="K6" s="2"/>
      <x:c r="L6" s="2"/>
      <x:c r="M6" s="2"/>
      <x:c r="N6" s="2"/>
    </x:row>
    <x:row r="7">
      <x:c r="A7" s="2"/>
      <x:c r="B7" s="2"/>
      <x:c r="C7" s="13" t="str">
        <x:v>Month</x:v>
      </x:c>
      <x:c r="D7" s="13" t="n">
        <x:v>1</x:v>
      </x:c>
      <x:c r="E7" s="13" t="n">
        <x:v>2</x:v>
      </x:c>
      <x:c r="F7" s="13" t="n">
        <x:v>3</x:v>
      </x:c>
      <x:c r="G7" s="13" t="n">
        <x:v>4</x:v>
      </x:c>
      <x:c r="H7" s="13" t="n">
        <x:v>5</x:v>
      </x:c>
      <x:c r="I7" s="13" t="n">
        <x:v>6</x:v>
      </x:c>
      <x:c r="J7" s="13" t="n">
        <x:v>7</x:v>
      </x:c>
      <x:c r="K7" s="13" t="n">
        <x:v>8</x:v>
      </x:c>
      <x:c r="L7" s="13" t="n">
        <x:v>9</x:v>
      </x:c>
      <x:c r="M7" s="13" t="n">
        <x:v>10</x:v>
      </x:c>
      <x:c r="N7" s="13" t="n">
        <x:v>11</x:v>
      </x:c>
      <x:c r="O7" s="42" t="n">
        <x:v>12</x:v>
      </x:c>
      <x:c r="P7" s="42" t="n">
        <x:v>13</x:v>
      </x:c>
      <x:c r="Q7" s="42" t="n">
        <x:v>14</x:v>
      </x:c>
      <x:c r="R7" s="42" t="n">
        <x:v>15</x:v>
      </x:c>
      <x:c r="S7" s="42" t="n">
        <x:v>16</x:v>
      </x:c>
      <x:c r="T7" s="42" t="n">
        <x:v>17</x:v>
      </x:c>
      <x:c r="U7" s="42" t="n">
        <x:v>18</x:v>
      </x:c>
      <x:c r="V7" s="42" t="n">
        <x:v>19</x:v>
      </x:c>
      <x:c r="W7" s="42" t="n">
        <x:v>20</x:v>
      </x:c>
      <x:c r="X7" s="42" t="n">
        <x:v>21</x:v>
      </x:c>
      <x:c r="Y7" s="42" t="n">
        <x:v>22</x:v>
      </x:c>
      <x:c r="Z7" s="42" t="n">
        <x:v>23</x:v>
      </x:c>
      <x:c r="AA7" s="42" t="n">
        <x:v>24</x:v>
      </x:c>
    </x:row>
    <x:row r="8">
      <x:c r="A8" s="2"/>
      <x:c r="B8" s="2"/>
      <x:c r="C8" s="2" t="str">
        <x:v>Beginning active locations</x:v>
      </x:c>
      <x:c r="D8" s="36" t="n">
        <x:f>'Assumptions'!D48</x:f>
        <x:v>0</x:v>
      </x:c>
      <x:c r="E8" s="36" t="n">
        <x:f>D11</x:f>
        <x:v>0</x:v>
      </x:c>
      <x:c r="F8" s="36" t="n">
        <x:f>E11</x:f>
        <x:v>0</x:v>
      </x:c>
      <x:c r="G8" s="36" t="n">
        <x:f>F11</x:f>
        <x:v>0</x:v>
      </x:c>
      <x:c r="H8" s="36" t="n">
        <x:f>G11</x:f>
        <x:v>0</x:v>
      </x:c>
      <x:c r="I8" s="36" t="n">
        <x:f>H11</x:f>
        <x:v>0</x:v>
      </x:c>
      <x:c r="J8" s="36" t="n">
        <x:f>I11</x:f>
        <x:v>4</x:v>
      </x:c>
      <x:c r="K8" s="36" t="n">
        <x:f>J11</x:f>
        <x:v>7.88</x:v>
      </x:c>
      <x:c r="L8" s="36" t="n">
        <x:f>K11</x:f>
        <x:v>11.6436</x:v>
      </x:c>
      <x:c r="M8" s="36" t="n">
        <x:f>L11</x:f>
        <x:v>15.294291999999999</x:v>
      </x:c>
      <x:c r="N8" s="36" t="n">
        <x:f>M11</x:f>
        <x:v>18.83546324</x:v>
      </x:c>
      <x:c r="O8" s="43" t="n">
        <x:f>N11</x:f>
        <x:v>22.270399342799998</x:v>
      </x:c>
      <x:c r="P8" s="43" t="n">
        <x:f>O11</x:f>
        <x:v>25.602287362515998</x:v>
      </x:c>
      <x:c r="Q8" s="43" t="n">
        <x:f>P11</x:f>
        <x:v>28.83421874164052</x:v>
      </x:c>
      <x:c r="R8" s="43" t="n">
        <x:f>Q11</x:f>
        <x:v>31.969192179391303</x:v>
      </x:c>
      <x:c r="S8" s="43" t="n">
        <x:f>R11</x:f>
        <x:v>35.01011641400956</x:v>
      </x:c>
      <x:c r="T8" s="43" t="n">
        <x:f>S11</x:f>
        <x:v>37.959812921589275</x:v>
      </x:c>
      <x:c r="U8" s="43" t="n">
        <x:f>T11</x:f>
        <x:v>40.8210185339416</x:v>
      </x:c>
      <x:c r="V8" s="43" t="n">
        <x:f>U11</x:f>
        <x:v>43.59638797792335</x:v>
      </x:c>
      <x:c r="W8" s="43" t="n">
        <x:f>V11</x:f>
        <x:v>46.28849633858565</x:v>
      </x:c>
      <x:c r="X8" s="43" t="n">
        <x:f>W11</x:f>
        <x:v>48.899841448428084</x:v>
      </x:c>
      <x:c r="Y8" s="43" t="n">
        <x:f>X11</x:f>
        <x:v>51.43284620497524</x:v>
      </x:c>
      <x:c r="Z8" s="43" t="n">
        <x:f>Y11</x:f>
        <x:v>53.88986081882599</x:v>
      </x:c>
      <x:c r="AA8" s="43" t="n">
        <x:f>Z11</x:f>
        <x:v>56.27316499426121</x:v>
      </x:c>
    </x:row>
    <x:row r="9">
      <x:c r="A9" s="2"/>
      <x:c r="B9" s="2"/>
      <x:c r="C9" s="2" t="str">
        <x:v>Churned locations</x:v>
      </x:c>
      <x:c r="D9" s="36" t="n">
        <x:f>D8*'Assumptions'!D40</x:f>
        <x:v>0</x:v>
      </x:c>
      <x:c r="E9" s="36" t="n">
        <x:f>E8*'Assumptions'!D40</x:f>
        <x:v>0</x:v>
      </x:c>
      <x:c r="F9" s="36" t="n">
        <x:f>F8*'Assumptions'!D40</x:f>
        <x:v>0</x:v>
      </x:c>
      <x:c r="G9" s="36" t="n">
        <x:f>G8*'Assumptions'!D40</x:f>
        <x:v>0</x:v>
      </x:c>
      <x:c r="H9" s="36" t="n">
        <x:f>H8*'Assumptions'!D40</x:f>
        <x:v>0</x:v>
      </x:c>
      <x:c r="I9" s="36" t="n">
        <x:f>I8*'Assumptions'!D40</x:f>
        <x:v>0</x:v>
      </x:c>
      <x:c r="J9" s="36" t="n">
        <x:f>J8*'Assumptions'!D40</x:f>
        <x:v>0.12</x:v>
      </x:c>
      <x:c r="K9" s="36" t="n">
        <x:f>K8*'Assumptions'!D40</x:f>
        <x:v>0.2364</x:v>
      </x:c>
      <x:c r="L9" s="36" t="n">
        <x:f>L8*'Assumptions'!D40</x:f>
        <x:v>0.34930799999999995</x:v>
      </x:c>
      <x:c r="M9" s="36" t="n">
        <x:f>M8*'Assumptions'!D40</x:f>
        <x:v>0.45882875999999995</x:v>
      </x:c>
      <x:c r="N9" s="36" t="n">
        <x:f>N8*'Assumptions'!D40</x:f>
        <x:v>0.5650638971999999</x:v>
      </x:c>
      <x:c r="O9" s="43" t="n">
        <x:f>O8*'Assumptions'!D40</x:f>
        <x:v>0.6681119802839999</x:v>
      </x:c>
      <x:c r="P9" s="43" t="n">
        <x:f>P8*'Assumptions'!D40</x:f>
        <x:v>0.7680686208754799</x:v>
      </x:c>
      <x:c r="Q9" s="43" t="n">
        <x:f>Q8*'Assumptions'!D40</x:f>
        <x:v>0.8650265622492156</x:v>
      </x:c>
      <x:c r="R9" s="43" t="n">
        <x:f>R8*'Assumptions'!D40</x:f>
        <x:v>0.9590757653817391</x:v>
      </x:c>
      <x:c r="S9" s="43" t="n">
        <x:f>S8*'Assumptions'!D40</x:f>
        <x:v>1.0503034924202868</x:v>
      </x:c>
      <x:c r="T9" s="43" t="n">
        <x:f>T8*'Assumptions'!D40</x:f>
        <x:v>1.1387943876476783</x:v>
      </x:c>
      <x:c r="U9" s="43" t="n">
        <x:f>U8*'Assumptions'!D40</x:f>
        <x:v>1.2246305560182478</x:v>
      </x:c>
      <x:c r="V9" s="43" t="n">
        <x:f>V8*'Assumptions'!D40</x:f>
        <x:v>1.3078916393377005</x:v>
      </x:c>
      <x:c r="W9" s="43" t="n">
        <x:f>W8*'Assumptions'!D40</x:f>
        <x:v>1.3886548901575695</x:v>
      </x:c>
      <x:c r="X9" s="43" t="n">
        <x:f>X8*'Assumptions'!D40</x:f>
        <x:v>1.4669952434528424</x:v>
      </x:c>
      <x:c r="Y9" s="43" t="n">
        <x:f>Y8*'Assumptions'!D40</x:f>
        <x:v>1.5429853861492573</x:v>
      </x:c>
      <x:c r="Z9" s="43" t="n">
        <x:f>Z8*'Assumptions'!D40</x:f>
        <x:v>1.6166958245647796</x:v>
      </x:c>
      <x:c r="AA9" s="43" t="n">
        <x:f>AA8*'Assumptions'!D40</x:f>
        <x:v>1.6881949498278361</x:v>
      </x:c>
    </x:row>
    <x:row r="10">
      <x:c r="A10" s="2"/>
      <x:c r="B10" s="2"/>
      <x:c r="C10" s="2" t="str">
        <x:v>New paid locations</x:v>
      </x:c>
      <x:c r="D10" s="36" t="n">
        <x:f>IF(D$7&lt;'Assumptions'!D51,0,'Assumptions'!D47)</x:f>
        <x:v>0</x:v>
      </x:c>
      <x:c r="E10" s="36" t="n">
        <x:f>IF(E$7&lt;'Assumptions'!D51,0,'Assumptions'!D47)</x:f>
        <x:v>0</x:v>
      </x:c>
      <x:c r="F10" s="36" t="n">
        <x:f>IF(F$7&lt;'Assumptions'!D51,0,'Assumptions'!D47)</x:f>
        <x:v>0</x:v>
      </x:c>
      <x:c r="G10" s="36" t="n">
        <x:f>IF(G$7&lt;'Assumptions'!D51,0,'Assumptions'!D47)</x:f>
        <x:v>0</x:v>
      </x:c>
      <x:c r="H10" s="36" t="n">
        <x:f>IF(H$7&lt;'Assumptions'!D51,0,'Assumptions'!D47)</x:f>
        <x:v>0</x:v>
      </x:c>
      <x:c r="I10" s="36" t="n">
        <x:f>IF(I$7&lt;'Assumptions'!D51,0,'Assumptions'!D47)</x:f>
        <x:v>4</x:v>
      </x:c>
      <x:c r="J10" s="36" t="n">
        <x:f>IF(J$7&lt;'Assumptions'!D51,0,'Assumptions'!D47)</x:f>
        <x:v>4</x:v>
      </x:c>
      <x:c r="K10" s="36" t="n">
        <x:f>IF(K$7&lt;'Assumptions'!D51,0,'Assumptions'!D47)</x:f>
        <x:v>4</x:v>
      </x:c>
      <x:c r="L10" s="36" t="n">
        <x:f>IF(L$7&lt;'Assumptions'!D51,0,'Assumptions'!D47)</x:f>
        <x:v>4</x:v>
      </x:c>
      <x:c r="M10" s="36" t="n">
        <x:f>IF(M$7&lt;'Assumptions'!D51,0,'Assumptions'!D47)</x:f>
        <x:v>4</x:v>
      </x:c>
      <x:c r="N10" s="36" t="n">
        <x:f>IF(N$7&lt;'Assumptions'!D51,0,'Assumptions'!D47)</x:f>
        <x:v>4</x:v>
      </x:c>
      <x:c r="O10" s="43" t="n">
        <x:f>IF(O$7&lt;'Assumptions'!D51,0,'Assumptions'!D47)</x:f>
        <x:v>4</x:v>
      </x:c>
      <x:c r="P10" s="43" t="n">
        <x:f>IF(P$7&lt;'Assumptions'!D51,0,'Assumptions'!D47)</x:f>
        <x:v>4</x:v>
      </x:c>
      <x:c r="Q10" s="43" t="n">
        <x:f>IF(Q$7&lt;'Assumptions'!D51,0,'Assumptions'!D47)</x:f>
        <x:v>4</x:v>
      </x:c>
      <x:c r="R10" s="43" t="n">
        <x:f>IF(R$7&lt;'Assumptions'!D51,0,'Assumptions'!D47)</x:f>
        <x:v>4</x:v>
      </x:c>
      <x:c r="S10" s="43" t="n">
        <x:f>IF(S$7&lt;'Assumptions'!D51,0,'Assumptions'!D47)</x:f>
        <x:v>4</x:v>
      </x:c>
      <x:c r="T10" s="43" t="n">
        <x:f>IF(T$7&lt;'Assumptions'!D51,0,'Assumptions'!D47)</x:f>
        <x:v>4</x:v>
      </x:c>
      <x:c r="U10" s="43" t="n">
        <x:f>IF(U$7&lt;'Assumptions'!D51,0,'Assumptions'!D47)</x:f>
        <x:v>4</x:v>
      </x:c>
      <x:c r="V10" s="43" t="n">
        <x:f>IF(V$7&lt;'Assumptions'!D51,0,'Assumptions'!D47)</x:f>
        <x:v>4</x:v>
      </x:c>
      <x:c r="W10" s="43" t="n">
        <x:f>IF(W$7&lt;'Assumptions'!D51,0,'Assumptions'!D47)</x:f>
        <x:v>4</x:v>
      </x:c>
      <x:c r="X10" s="43" t="n">
        <x:f>IF(X$7&lt;'Assumptions'!D51,0,'Assumptions'!D47)</x:f>
        <x:v>4</x:v>
      </x:c>
      <x:c r="Y10" s="43" t="n">
        <x:f>IF(Y$7&lt;'Assumptions'!D51,0,'Assumptions'!D47)</x:f>
        <x:v>4</x:v>
      </x:c>
      <x:c r="Z10" s="43" t="n">
        <x:f>IF(Z$7&lt;'Assumptions'!D51,0,'Assumptions'!D47)</x:f>
        <x:v>4</x:v>
      </x:c>
      <x:c r="AA10" s="43" t="n">
        <x:f>IF(AA$7&lt;'Assumptions'!D51,0,'Assumptions'!D47)</x:f>
        <x:v>4</x:v>
      </x:c>
    </x:row>
    <x:row r="11">
      <x:c r="A11" s="2"/>
      <x:c r="B11" s="2"/>
      <x:c r="C11" s="2" t="str">
        <x:v>Ending active locations</x:v>
      </x:c>
      <x:c r="D11" s="36" t="n">
        <x:f>D8-D9+D10</x:f>
        <x:v>0</x:v>
      </x:c>
      <x:c r="E11" s="36" t="n">
        <x:f>E8-E9+E10</x:f>
        <x:v>0</x:v>
      </x:c>
      <x:c r="F11" s="36" t="n">
        <x:f>F8-F9+F10</x:f>
        <x:v>0</x:v>
      </x:c>
      <x:c r="G11" s="36" t="n">
        <x:f>G8-G9+G10</x:f>
        <x:v>0</x:v>
      </x:c>
      <x:c r="H11" s="36" t="n">
        <x:f>H8-H9+H10</x:f>
        <x:v>0</x:v>
      </x:c>
      <x:c r="I11" s="36" t="n">
        <x:f>I8-I9+I10</x:f>
        <x:v>4</x:v>
      </x:c>
      <x:c r="J11" s="36" t="n">
        <x:f>J8-J9+J10</x:f>
        <x:v>7.88</x:v>
      </x:c>
      <x:c r="K11" s="36" t="n">
        <x:f>K8-K9+K10</x:f>
        <x:v>11.6436</x:v>
      </x:c>
      <x:c r="L11" s="36" t="n">
        <x:f>L8-L9+L10</x:f>
        <x:v>15.294291999999999</x:v>
      </x:c>
      <x:c r="M11" s="36" t="n">
        <x:f>M8-M9+M10</x:f>
        <x:v>18.83546324</x:v>
      </x:c>
      <x:c r="N11" s="36" t="n">
        <x:f>N8-N9+N10</x:f>
        <x:v>22.270399342799998</x:v>
      </x:c>
      <x:c r="O11" s="43" t="n">
        <x:f>O8-O9+O10</x:f>
        <x:v>25.602287362515998</x:v>
      </x:c>
      <x:c r="P11" s="43" t="n">
        <x:f>P8-P9+P10</x:f>
        <x:v>28.83421874164052</x:v>
      </x:c>
      <x:c r="Q11" s="43" t="n">
        <x:f>Q8-Q9+Q10</x:f>
        <x:v>31.969192179391303</x:v>
      </x:c>
      <x:c r="R11" s="43" t="n">
        <x:f>R8-R9+R10</x:f>
        <x:v>35.01011641400956</x:v>
      </x:c>
      <x:c r="S11" s="43" t="n">
        <x:f>S8-S9+S10</x:f>
        <x:v>37.959812921589275</x:v>
      </x:c>
      <x:c r="T11" s="43" t="n">
        <x:f>T8-T9+T10</x:f>
        <x:v>40.8210185339416</x:v>
      </x:c>
      <x:c r="U11" s="43" t="n">
        <x:f>U8-U9+U10</x:f>
        <x:v>43.59638797792335</x:v>
      </x:c>
      <x:c r="V11" s="43" t="n">
        <x:f>V8-V9+V10</x:f>
        <x:v>46.28849633858565</x:v>
      </x:c>
      <x:c r="W11" s="43" t="n">
        <x:f>W8-W9+W10</x:f>
        <x:v>48.899841448428084</x:v>
      </x:c>
      <x:c r="X11" s="43" t="n">
        <x:f>X8-X9+X10</x:f>
        <x:v>51.43284620497524</x:v>
      </x:c>
      <x:c r="Y11" s="43" t="n">
        <x:f>Y8-Y9+Y10</x:f>
        <x:v>53.88986081882599</x:v>
      </x:c>
      <x:c r="Z11" s="43" t="n">
        <x:f>Z8-Z9+Z10</x:f>
        <x:v>56.27316499426121</x:v>
      </x:c>
      <x:c r="AA11" s="43" t="n">
        <x:f>AA8-AA9+AA10</x:f>
        <x:v>58.58497004443337</x:v>
      </x:c>
    </x:row>
    <x:row r="12">
      <x:c r="A12" s="2"/>
      <x:c r="B12" s="2"/>
      <x:c r="C12" s="2" t="str">
        <x:v>Billed locations</x:v>
      </x:c>
      <x:c r="D12" s="36" t="n">
        <x:f>D8-D9+'Assumptions'!D50*D10</x:f>
        <x:v>0</x:v>
      </x:c>
      <x:c r="E12" s="36" t="n">
        <x:f>E8-E9+'Assumptions'!D50*E10</x:f>
        <x:v>0</x:v>
      </x:c>
      <x:c r="F12" s="36" t="n">
        <x:f>F8-F9+'Assumptions'!D50*F10</x:f>
        <x:v>0</x:v>
      </x:c>
      <x:c r="G12" s="36" t="n">
        <x:f>G8-G9+'Assumptions'!D50*G10</x:f>
        <x:v>0</x:v>
      </x:c>
      <x:c r="H12" s="36" t="n">
        <x:f>H8-H9+'Assumptions'!D50*H10</x:f>
        <x:v>0</x:v>
      </x:c>
      <x:c r="I12" s="36" t="n">
        <x:f>I8-I9+'Assumptions'!D50*I10</x:f>
        <x:v>2</x:v>
      </x:c>
      <x:c r="J12" s="36" t="n">
        <x:f>J8-J9+'Assumptions'!D50*J10</x:f>
        <x:v>5.88</x:v>
      </x:c>
      <x:c r="K12" s="36" t="n">
        <x:f>K8-K9+'Assumptions'!D50*K10</x:f>
        <x:v>9.6436</x:v>
      </x:c>
      <x:c r="L12" s="36" t="n">
        <x:f>L8-L9+'Assumptions'!D50*L10</x:f>
        <x:v>13.294291999999999</x:v>
      </x:c>
      <x:c r="M12" s="36" t="n">
        <x:f>M8-M9+'Assumptions'!D50*M10</x:f>
        <x:v>16.83546324</x:v>
      </x:c>
      <x:c r="N12" s="36" t="n">
        <x:f>N8-N9+'Assumptions'!D50*N10</x:f>
        <x:v>20.270399342799998</x:v>
      </x:c>
      <x:c r="O12" s="43" t="n">
        <x:f>O8-O9+'Assumptions'!D50*O10</x:f>
        <x:v>23.602287362515998</x:v>
      </x:c>
      <x:c r="P12" s="43" t="n">
        <x:f>P8-P9+'Assumptions'!D50*P10</x:f>
        <x:v>26.83421874164052</x:v>
      </x:c>
      <x:c r="Q12" s="43" t="n">
        <x:f>Q8-Q9+'Assumptions'!D50*Q10</x:f>
        <x:v>29.969192179391303</x:v>
      </x:c>
      <x:c r="R12" s="43" t="n">
        <x:f>R8-R9+'Assumptions'!D50*R10</x:f>
        <x:v>33.01011641400956</x:v>
      </x:c>
      <x:c r="S12" s="43" t="n">
        <x:f>S8-S9+'Assumptions'!D50*S10</x:f>
        <x:v>35.959812921589275</x:v>
      </x:c>
      <x:c r="T12" s="43" t="n">
        <x:f>T8-T9+'Assumptions'!D50*T10</x:f>
        <x:v>38.8210185339416</x:v>
      </x:c>
      <x:c r="U12" s="43" t="n">
        <x:f>U8-U9+'Assumptions'!D50*U10</x:f>
        <x:v>41.59638797792335</x:v>
      </x:c>
      <x:c r="V12" s="43" t="n">
        <x:f>V8-V9+'Assumptions'!D50*V10</x:f>
        <x:v>44.28849633858565</x:v>
      </x:c>
      <x:c r="W12" s="43" t="n">
        <x:f>W8-W9+'Assumptions'!D50*W10</x:f>
        <x:v>46.899841448428084</x:v>
      </x:c>
      <x:c r="X12" s="43" t="n">
        <x:f>X8-X9+'Assumptions'!D50*X10</x:f>
        <x:v>49.43284620497524</x:v>
      </x:c>
      <x:c r="Y12" s="43" t="n">
        <x:f>Y8-Y9+'Assumptions'!D50*Y10</x:f>
        <x:v>51.88986081882599</x:v>
      </x:c>
      <x:c r="Z12" s="43" t="n">
        <x:f>Z8-Z9+'Assumptions'!D50*Z10</x:f>
        <x:v>54.27316499426121</x:v>
      </x:c>
      <x:c r="AA12" s="43" t="n">
        <x:f>AA8-AA9+'Assumptions'!D50*AA10</x:f>
        <x:v>56.58497004443337</x:v>
      </x:c>
    </x:row>
    <x:row r="13">
      <x:c r="A13" s="2"/>
      <x:c r="B13" s="2"/>
      <x:c r="C13" s="2" t="str">
        <x:v>Recurring contribution before replacement CAC</x:v>
      </x:c>
      <x:c r="D13" s="34" t="n">
        <x:f>D12*'SaaS model'!D19</x:f>
        <x:v>0</x:v>
      </x:c>
      <x:c r="E13" s="34" t="n">
        <x:f>E12*'SaaS model'!D19</x:f>
        <x:v>0</x:v>
      </x:c>
      <x:c r="F13" s="34" t="n">
        <x:f>F12*'SaaS model'!D19</x:f>
        <x:v>0</x:v>
      </x:c>
      <x:c r="G13" s="34" t="n">
        <x:f>G12*'SaaS model'!D19</x:f>
        <x:v>0</x:v>
      </x:c>
      <x:c r="H13" s="34" t="n">
        <x:f>H12*'SaaS model'!D19</x:f>
        <x:v>0</x:v>
      </x:c>
      <x:c r="I13" s="34" t="n">
        <x:f>I12*'SaaS model'!D19</x:f>
        <x:v>698.772</x:v>
      </x:c>
      <x:c r="J13" s="34" t="n">
        <x:f>J12*'SaaS model'!D19</x:f>
        <x:v>2054.38968</x:v>
      </x:c>
      <x:c r="K13" s="34" t="n">
        <x:f>K12*'SaaS model'!D19</x:f>
        <x:v>3369.3388296</x:v>
      </x:c>
      <x:c r="L13" s="34" t="n">
        <x:f>L12*'SaaS model'!D19</x:f>
        <x:v>4644.839504712</x:v>
      </x:c>
      <x:c r="M13" s="34" t="n">
        <x:f>M12*'SaaS model'!D19</x:f>
        <x:v>5882.07515957064</x:v>
      </x:c>
      <x:c r="N13" s="34" t="n">
        <x:f>N12*'SaaS model'!D19</x:f>
        <x:v>7082.193744783521</x:v>
      </x:c>
      <x:c r="O13" s="44" t="n">
        <x:f>O12*'SaaS model'!D19</x:f>
        <x:v>8246.308772440016</x:v>
      </x:c>
      <x:c r="P13" s="44" t="n">
        <x:f>P12*'SaaS model'!D19</x:f>
        <x:v>9375.500349266815</x:v>
      </x:c>
      <x:c r="Q13" s="44" t="n">
        <x:f>Q12*'SaaS model'!D19</x:f>
        <x:v>10470.816178788811</x:v>
      </x:c>
      <x:c r="R13" s="44" t="n">
        <x:f>R12*'SaaS model'!D19</x:f>
        <x:v>11533.272533425145</x:v>
      </x:c>
      <x:c r="S13" s="44" t="n">
        <x:f>S12*'SaaS model'!D19</x:f>
        <x:v>12563.855197422392</x:v>
      </x:c>
      <x:c r="T13" s="44" t="n">
        <x:f>T12*'SaaS model'!D19</x:f>
        <x:v>13563.52038149972</x:v>
      </x:c>
      <x:c r="U13" s="44" t="n">
        <x:f>U12*'SaaS model'!D19</x:f>
        <x:v>14533.195610054729</x:v>
      </x:c>
      <x:c r="V13" s="44" t="n">
        <x:f>V12*'SaaS model'!D19</x:f>
        <x:v>15473.780581753088</x:v>
      </x:c>
      <x:c r="W13" s="44" t="n">
        <x:f>W12*'SaaS model'!D19</x:f>
        <x:v>16386.148004300496</x:v>
      </x:c>
      <x:c r="X13" s="44" t="n">
        <x:f>X12*'SaaS model'!D19</x:f>
        <x:v>17271.144404171482</x:v>
      </x:c>
      <x:c r="Y13" s="44" t="n">
        <x:f>Y12*'SaaS model'!D19</x:f>
        <x:v>18129.590912046337</x:v>
      </x:c>
      <x:c r="Z13" s="44" t="n">
        <x:f>Z12*'SaaS model'!D19</x:f>
        <x:v>18962.28402468495</x:v>
      </x:c>
      <x:c r="AA13" s="44" t="n">
        <x:f>AA12*'SaaS model'!D19</x:f>
        <x:v>19769.9963439444</x:v>
      </x:c>
    </x:row>
    <x:row r="14">
      <x:c r="A14" s="2"/>
      <x:c r="B14" s="2"/>
      <x:c r="C14" s="2" t="str">
        <x:v>Net setup contribution</x:v>
      </x:c>
      <x:c r="D14" s="34" t="n">
        <x:f>D10*'SaaS model'!D30</x:f>
        <x:v>0</x:v>
      </x:c>
      <x:c r="E14" s="34" t="n">
        <x:f>E10*'SaaS model'!D30</x:f>
        <x:v>0</x:v>
      </x:c>
      <x:c r="F14" s="34" t="n">
        <x:f>F10*'SaaS model'!D30</x:f>
        <x:v>0</x:v>
      </x:c>
      <x:c r="G14" s="34" t="n">
        <x:f>G10*'SaaS model'!D30</x:f>
        <x:v>0</x:v>
      </x:c>
      <x:c r="H14" s="34" t="n">
        <x:f>H10*'SaaS model'!D30</x:f>
        <x:v>0</x:v>
      </x:c>
      <x:c r="I14" s="34" t="n">
        <x:f>I10*'SaaS model'!D30</x:f>
        <x:v>1099.3159999999998</x:v>
      </x:c>
      <x:c r="J14" s="34" t="n">
        <x:f>J10*'SaaS model'!D30</x:f>
        <x:v>1099.3159999999998</x:v>
      </x:c>
      <x:c r="K14" s="34" t="n">
        <x:f>K10*'SaaS model'!D30</x:f>
        <x:v>1099.3159999999998</x:v>
      </x:c>
      <x:c r="L14" s="34" t="n">
        <x:f>L10*'SaaS model'!D30</x:f>
        <x:v>1099.3159999999998</x:v>
      </x:c>
      <x:c r="M14" s="34" t="n">
        <x:f>M10*'SaaS model'!D30</x:f>
        <x:v>1099.3159999999998</x:v>
      </x:c>
      <x:c r="N14" s="34" t="n">
        <x:f>N10*'SaaS model'!D30</x:f>
        <x:v>1099.3159999999998</x:v>
      </x:c>
      <x:c r="O14" s="44" t="n">
        <x:f>O10*'SaaS model'!D30</x:f>
        <x:v>1099.3159999999998</x:v>
      </x:c>
      <x:c r="P14" s="44" t="n">
        <x:f>P10*'SaaS model'!D30</x:f>
        <x:v>1099.3159999999998</x:v>
      </x:c>
      <x:c r="Q14" s="44" t="n">
        <x:f>Q10*'SaaS model'!D30</x:f>
        <x:v>1099.3159999999998</x:v>
      </x:c>
      <x:c r="R14" s="44" t="n">
        <x:f>R10*'SaaS model'!D30</x:f>
        <x:v>1099.3159999999998</x:v>
      </x:c>
      <x:c r="S14" s="44" t="n">
        <x:f>S10*'SaaS model'!D30</x:f>
        <x:v>1099.3159999999998</x:v>
      </x:c>
      <x:c r="T14" s="44" t="n">
        <x:f>T10*'SaaS model'!D30</x:f>
        <x:v>1099.3159999999998</x:v>
      </x:c>
      <x:c r="U14" s="44" t="n">
        <x:f>U10*'SaaS model'!D30</x:f>
        <x:v>1099.3159999999998</x:v>
      </x:c>
      <x:c r="V14" s="44" t="n">
        <x:f>V10*'SaaS model'!D30</x:f>
        <x:v>1099.3159999999998</x:v>
      </x:c>
      <x:c r="W14" s="44" t="n">
        <x:f>W10*'SaaS model'!D30</x:f>
        <x:v>1099.3159999999998</x:v>
      </x:c>
      <x:c r="X14" s="44" t="n">
        <x:f>X10*'SaaS model'!D30</x:f>
        <x:v>1099.3159999999998</x:v>
      </x:c>
      <x:c r="Y14" s="44" t="n">
        <x:f>Y10*'SaaS model'!D30</x:f>
        <x:v>1099.3159999999998</x:v>
      </x:c>
      <x:c r="Z14" s="44" t="n">
        <x:f>Z10*'SaaS model'!D30</x:f>
        <x:v>1099.3159999999998</x:v>
      </x:c>
      <x:c r="AA14" s="44" t="n">
        <x:f>AA10*'SaaS model'!D30</x:f>
        <x:v>1099.3159999999998</x:v>
      </x:c>
    </x:row>
    <x:row r="15">
      <x:c r="A15" s="2"/>
      <x:c r="B15" s="2"/>
      <x:c r="C15" s="2" t="str">
        <x:v>Acquisition cash outflow</x:v>
      </x:c>
      <x:c r="D15" s="34" t="n">
        <x:f>D10*'Assumptions'!D39</x:f>
        <x:v>0</x:v>
      </x:c>
      <x:c r="E15" s="34" t="n">
        <x:f>E10*'Assumptions'!D39</x:f>
        <x:v>0</x:v>
      </x:c>
      <x:c r="F15" s="34" t="n">
        <x:f>F10*'Assumptions'!D39</x:f>
        <x:v>0</x:v>
      </x:c>
      <x:c r="G15" s="34" t="n">
        <x:f>G10*'Assumptions'!D39</x:f>
        <x:v>0</x:v>
      </x:c>
      <x:c r="H15" s="34" t="n">
        <x:f>H10*'Assumptions'!D39</x:f>
        <x:v>0</x:v>
      </x:c>
      <x:c r="I15" s="34" t="n">
        <x:f>I10*'Assumptions'!D39</x:f>
        <x:v>2800</x:v>
      </x:c>
      <x:c r="J15" s="34" t="n">
        <x:f>J10*'Assumptions'!D39</x:f>
        <x:v>2800</x:v>
      </x:c>
      <x:c r="K15" s="34" t="n">
        <x:f>K10*'Assumptions'!D39</x:f>
        <x:v>2800</x:v>
      </x:c>
      <x:c r="L15" s="34" t="n">
        <x:f>L10*'Assumptions'!D39</x:f>
        <x:v>2800</x:v>
      </x:c>
      <x:c r="M15" s="34" t="n">
        <x:f>M10*'Assumptions'!D39</x:f>
        <x:v>2800</x:v>
      </x:c>
      <x:c r="N15" s="34" t="n">
        <x:f>N10*'Assumptions'!D39</x:f>
        <x:v>2800</x:v>
      </x:c>
      <x:c r="O15" s="44" t="n">
        <x:f>O10*'Assumptions'!D39</x:f>
        <x:v>2800</x:v>
      </x:c>
      <x:c r="P15" s="44" t="n">
        <x:f>P10*'Assumptions'!D39</x:f>
        <x:v>2800</x:v>
      </x:c>
      <x:c r="Q15" s="44" t="n">
        <x:f>Q10*'Assumptions'!D39</x:f>
        <x:v>2800</x:v>
      </x:c>
      <x:c r="R15" s="44" t="n">
        <x:f>R10*'Assumptions'!D39</x:f>
        <x:v>2800</x:v>
      </x:c>
      <x:c r="S15" s="44" t="n">
        <x:f>S10*'Assumptions'!D39</x:f>
        <x:v>2800</x:v>
      </x:c>
      <x:c r="T15" s="44" t="n">
        <x:f>T10*'Assumptions'!D39</x:f>
        <x:v>2800</x:v>
      </x:c>
      <x:c r="U15" s="44" t="n">
        <x:f>U10*'Assumptions'!D39</x:f>
        <x:v>2800</x:v>
      </x:c>
      <x:c r="V15" s="44" t="n">
        <x:f>V10*'Assumptions'!D39</x:f>
        <x:v>2800</x:v>
      </x:c>
      <x:c r="W15" s="44" t="n">
        <x:f>W10*'Assumptions'!D39</x:f>
        <x:v>2800</x:v>
      </x:c>
      <x:c r="X15" s="44" t="n">
        <x:f>X10*'Assumptions'!D39</x:f>
        <x:v>2800</x:v>
      </x:c>
      <x:c r="Y15" s="44" t="n">
        <x:f>Y10*'Assumptions'!D39</x:f>
        <x:v>2800</x:v>
      </x:c>
      <x:c r="Z15" s="44" t="n">
        <x:f>Z10*'Assumptions'!D39</x:f>
        <x:v>2800</x:v>
      </x:c>
      <x:c r="AA15" s="44" t="n">
        <x:f>AA10*'Assumptions'!D39</x:f>
        <x:v>2800</x:v>
      </x:c>
    </x:row>
    <x:row r="16">
      <x:c r="A16" s="2"/>
      <x:c r="B16" s="2"/>
      <x:c r="C16" s="2" t="str">
        <x:v>Fixed overhead</x:v>
      </x:c>
      <x:c r="D16" s="34" t="n">
        <x:f>'Assumptions'!D42</x:f>
        <x:v>3000</x:v>
      </x:c>
      <x:c r="E16" s="34" t="n">
        <x:f>'Assumptions'!D42</x:f>
        <x:v>3000</x:v>
      </x:c>
      <x:c r="F16" s="34" t="n">
        <x:f>'Assumptions'!D42</x:f>
        <x:v>3000</x:v>
      </x:c>
      <x:c r="G16" s="34" t="n">
        <x:f>'Assumptions'!D42</x:f>
        <x:v>3000</x:v>
      </x:c>
      <x:c r="H16" s="34" t="n">
        <x:f>'Assumptions'!D42</x:f>
        <x:v>3000</x:v>
      </x:c>
      <x:c r="I16" s="34" t="n">
        <x:f>'Assumptions'!D42</x:f>
        <x:v>3000</x:v>
      </x:c>
      <x:c r="J16" s="34" t="n">
        <x:f>'Assumptions'!D42</x:f>
        <x:v>3000</x:v>
      </x:c>
      <x:c r="K16" s="34" t="n">
        <x:f>'Assumptions'!D42</x:f>
        <x:v>3000</x:v>
      </x:c>
      <x:c r="L16" s="34" t="n">
        <x:f>'Assumptions'!D42</x:f>
        <x:v>3000</x:v>
      </x:c>
      <x:c r="M16" s="34" t="n">
        <x:f>'Assumptions'!D42</x:f>
        <x:v>3000</x:v>
      </x:c>
      <x:c r="N16" s="34" t="n">
        <x:f>'Assumptions'!D42</x:f>
        <x:v>3000</x:v>
      </x:c>
      <x:c r="O16" s="44" t="n">
        <x:f>'Assumptions'!D42</x:f>
        <x:v>3000</x:v>
      </x:c>
      <x:c r="P16" s="44" t="n">
        <x:f>'Assumptions'!D42</x:f>
        <x:v>3000</x:v>
      </x:c>
      <x:c r="Q16" s="44" t="n">
        <x:f>'Assumptions'!D42</x:f>
        <x:v>3000</x:v>
      </x:c>
      <x:c r="R16" s="44" t="n">
        <x:f>'Assumptions'!D42</x:f>
        <x:v>3000</x:v>
      </x:c>
      <x:c r="S16" s="44" t="n">
        <x:f>'Assumptions'!D42</x:f>
        <x:v>3000</x:v>
      </x:c>
      <x:c r="T16" s="44" t="n">
        <x:f>'Assumptions'!D42</x:f>
        <x:v>3000</x:v>
      </x:c>
      <x:c r="U16" s="44" t="n">
        <x:f>'Assumptions'!D42</x:f>
        <x:v>3000</x:v>
      </x:c>
      <x:c r="V16" s="44" t="n">
        <x:f>'Assumptions'!D42</x:f>
        <x:v>3000</x:v>
      </x:c>
      <x:c r="W16" s="44" t="n">
        <x:f>'Assumptions'!D42</x:f>
        <x:v>3000</x:v>
      </x:c>
      <x:c r="X16" s="44" t="n">
        <x:f>'Assumptions'!D42</x:f>
        <x:v>3000</x:v>
      </x:c>
      <x:c r="Y16" s="44" t="n">
        <x:f>'Assumptions'!D42</x:f>
        <x:v>3000</x:v>
      </x:c>
      <x:c r="Z16" s="44" t="n">
        <x:f>'Assumptions'!D42</x:f>
        <x:v>3000</x:v>
      </x:c>
      <x:c r="AA16" s="44" t="n">
        <x:f>'Assumptions'!D42</x:f>
        <x:v>3000</x:v>
      </x:c>
    </x:row>
    <x:row r="17">
      <x:c r="A17" s="2"/>
      <x:c r="B17" s="2"/>
      <x:c r="C17" s="2" t="str">
        <x:v>Owner draw</x:v>
      </x:c>
      <x:c r="D17" s="34" t="n">
        <x:f>'Assumptions'!D43</x:f>
        <x:v>10000</x:v>
      </x:c>
      <x:c r="E17" s="34" t="n">
        <x:f>'Assumptions'!D43</x:f>
        <x:v>10000</x:v>
      </x:c>
      <x:c r="F17" s="34" t="n">
        <x:f>'Assumptions'!D43</x:f>
        <x:v>10000</x:v>
      </x:c>
      <x:c r="G17" s="34" t="n">
        <x:f>'Assumptions'!D43</x:f>
        <x:v>10000</x:v>
      </x:c>
      <x:c r="H17" s="34" t="n">
        <x:f>'Assumptions'!D43</x:f>
        <x:v>10000</x:v>
      </x:c>
      <x:c r="I17" s="34" t="n">
        <x:f>'Assumptions'!D43</x:f>
        <x:v>10000</x:v>
      </x:c>
      <x:c r="J17" s="34" t="n">
        <x:f>'Assumptions'!D43</x:f>
        <x:v>10000</x:v>
      </x:c>
      <x:c r="K17" s="34" t="n">
        <x:f>'Assumptions'!D43</x:f>
        <x:v>10000</x:v>
      </x:c>
      <x:c r="L17" s="34" t="n">
        <x:f>'Assumptions'!D43</x:f>
        <x:v>10000</x:v>
      </x:c>
      <x:c r="M17" s="34" t="n">
        <x:f>'Assumptions'!D43</x:f>
        <x:v>10000</x:v>
      </x:c>
      <x:c r="N17" s="34" t="n">
        <x:f>'Assumptions'!D43</x:f>
        <x:v>10000</x:v>
      </x:c>
      <x:c r="O17" s="44" t="n">
        <x:f>'Assumptions'!D43</x:f>
        <x:v>10000</x:v>
      </x:c>
      <x:c r="P17" s="44" t="n">
        <x:f>'Assumptions'!D43</x:f>
        <x:v>10000</x:v>
      </x:c>
      <x:c r="Q17" s="44" t="n">
        <x:f>'Assumptions'!D43</x:f>
        <x:v>10000</x:v>
      </x:c>
      <x:c r="R17" s="44" t="n">
        <x:f>'Assumptions'!D43</x:f>
        <x:v>10000</x:v>
      </x:c>
      <x:c r="S17" s="44" t="n">
        <x:f>'Assumptions'!D43</x:f>
        <x:v>10000</x:v>
      </x:c>
      <x:c r="T17" s="44" t="n">
        <x:f>'Assumptions'!D43</x:f>
        <x:v>10000</x:v>
      </x:c>
      <x:c r="U17" s="44" t="n">
        <x:f>'Assumptions'!D43</x:f>
        <x:v>10000</x:v>
      </x:c>
      <x:c r="V17" s="44" t="n">
        <x:f>'Assumptions'!D43</x:f>
        <x:v>10000</x:v>
      </x:c>
      <x:c r="W17" s="44" t="n">
        <x:f>'Assumptions'!D43</x:f>
        <x:v>10000</x:v>
      </x:c>
      <x:c r="X17" s="44" t="n">
        <x:f>'Assumptions'!D43</x:f>
        <x:v>10000</x:v>
      </x:c>
      <x:c r="Y17" s="44" t="n">
        <x:f>'Assumptions'!D43</x:f>
        <x:v>10000</x:v>
      </x:c>
      <x:c r="Z17" s="44" t="n">
        <x:f>'Assumptions'!D43</x:f>
        <x:v>10000</x:v>
      </x:c>
      <x:c r="AA17" s="44" t="n">
        <x:f>'Assumptions'!D43</x:f>
        <x:v>10000</x:v>
      </x:c>
    </x:row>
    <x:row r="18">
      <x:c r="A18" s="2"/>
      <x:c r="B18" s="2"/>
      <x:c r="C18" s="28" t="str">
        <x:v>Operating net cash before engineering build</x:v>
      </x:c>
      <x:c r="D18" s="45" t="n">
        <x:f>D13+D14-D15-D16-D17</x:f>
        <x:v>-13000</x:v>
      </x:c>
      <x:c r="E18" s="45" t="n">
        <x:f>E13+E14-E15-E16-E17</x:f>
        <x:v>-13000</x:v>
      </x:c>
      <x:c r="F18" s="45" t="n">
        <x:f>F13+F14-F15-F16-F17</x:f>
        <x:v>-13000</x:v>
      </x:c>
      <x:c r="G18" s="45" t="n">
        <x:f>G13+G14-G15-G16-G17</x:f>
        <x:v>-13000</x:v>
      </x:c>
      <x:c r="H18" s="45" t="n">
        <x:f>H13+H14-H15-H16-H17</x:f>
        <x:v>-13000</x:v>
      </x:c>
      <x:c r="I18" s="45" t="n">
        <x:f>I13+I14-I15-I16-I17</x:f>
        <x:v>-14001.912</x:v>
      </x:c>
      <x:c r="J18" s="45" t="n">
        <x:f>J13+J14-J15-J16-J17</x:f>
        <x:v>-12646.29432</x:v>
      </x:c>
      <x:c r="K18" s="45" t="n">
        <x:f>K13+K14-K15-K16-K17</x:f>
        <x:v>-11331.3451704</x:v>
      </x:c>
      <x:c r="L18" s="45" t="n">
        <x:f>L13+L14-L15-L16-L17</x:f>
        <x:v>-10055.844495288</x:v>
      </x:c>
      <x:c r="M18" s="45" t="n">
        <x:f>M13+M14-M15-M16-M17</x:f>
        <x:v>-8818.60884042936</x:v>
      </x:c>
      <x:c r="N18" s="45" t="n">
        <x:f>N13+N14-N15-N16-N17</x:f>
        <x:v>-7618.490255216479</x:v>
      </x:c>
      <x:c r="O18" s="46" t="n">
        <x:f>O13+O14-O15-O16-O17</x:f>
        <x:v>-6454.375227559984</x:v>
      </x:c>
      <x:c r="P18" s="46" t="n">
        <x:f>P13+P14-P15-P16-P17</x:f>
        <x:v>-5325.183650733186</x:v>
      </x:c>
      <x:c r="Q18" s="46" t="n">
        <x:f>Q13+Q14-Q15-Q16-Q17</x:f>
        <x:v>-4229.867821211188</x:v>
      </x:c>
      <x:c r="R18" s="46" t="n">
        <x:f>R13+R14-R15-R16-R17</x:f>
        <x:v>-3167.4114665748566</x:v>
      </x:c>
      <x:c r="S18" s="46" t="n">
        <x:f>S13+S14-S15-S16-S17</x:f>
        <x:v>-2136.828802577609</x:v>
      </x:c>
      <x:c r="T18" s="46" t="n">
        <x:f>T13+T14-T15-T16-T17</x:f>
        <x:v>-1137.163618500279</x:v>
      </x:c>
      <x:c r="U18" s="46" t="n">
        <x:f>U13+U14-U15-U16-U17</x:f>
        <x:v>-167.4883899452725</x:v>
      </x:c>
      <x:c r="V18" s="46" t="n">
        <x:f>V13+V14-V15-V16-V17</x:f>
        <x:v>773.0965817530887</x:v>
      </x:c>
      <x:c r="W18" s="46" t="n">
        <x:f>W13+W14-W15-W16-W17</x:f>
        <x:v>1685.4640043004947</x:v>
      </x:c>
      <x:c r="X18" s="46" t="n">
        <x:f>X13+X14-X15-X16-X17</x:f>
        <x:v>2570.460404171481</x:v>
      </x:c>
      <x:c r="Y18" s="46" t="n">
        <x:f>Y13+Y14-Y15-Y16-Y17</x:f>
        <x:v>3428.9069120463355</x:v>
      </x:c>
      <x:c r="Z18" s="46" t="n">
        <x:f>Z13+Z14-Z15-Z16-Z17</x:f>
        <x:v>4261.600024684947</x:v>
      </x:c>
      <x:c r="AA18" s="46" t="n">
        <x:f>AA13+AA14-AA15-AA16-AA17</x:f>
        <x:v>5069.312343944399</x:v>
      </x:c>
    </x:row>
    <x:row r="19">
      <x:c r="A19" s="2"/>
      <x:c r="B19" s="2"/>
      <x:c r="C19" s="2" t="str">
        <x:v>Combined-release engineering outflow</x:v>
      </x:c>
      <x:c r="D19" s="34" t="n">
        <x:f>'Assumptions'!D44</x:f>
        <x:v>174000</x:v>
      </x:c>
      <x:c r="E19" s="34" t="n">
        <x:f>0</x:f>
        <x:v>0</x:v>
      </x:c>
      <x:c r="F19" s="34" t="n">
        <x:f>0</x:f>
        <x:v>0</x:v>
      </x:c>
      <x:c r="G19" s="34" t="n">
        <x:f>0</x:f>
        <x:v>0</x:v>
      </x:c>
      <x:c r="H19" s="34" t="n">
        <x:f>0</x:f>
        <x:v>0</x:v>
      </x:c>
      <x:c r="I19" s="34" t="n">
        <x:f>0</x:f>
        <x:v>0</x:v>
      </x:c>
      <x:c r="J19" s="34" t="n">
        <x:f>0</x:f>
        <x:v>0</x:v>
      </x:c>
      <x:c r="K19" s="34" t="n">
        <x:f>0</x:f>
        <x:v>0</x:v>
      </x:c>
      <x:c r="L19" s="34" t="n">
        <x:f>0</x:f>
        <x:v>0</x:v>
      </x:c>
      <x:c r="M19" s="34" t="n">
        <x:f>0</x:f>
        <x:v>0</x:v>
      </x:c>
      <x:c r="N19" s="34" t="n">
        <x:f>0</x:f>
        <x:v>0</x:v>
      </x:c>
      <x:c r="O19" s="44" t="n">
        <x:f>0</x:f>
        <x:v>0</x:v>
      </x:c>
      <x:c r="P19" s="44" t="n">
        <x:f>0</x:f>
        <x:v>0</x:v>
      </x:c>
      <x:c r="Q19" s="44" t="n">
        <x:f>0</x:f>
        <x:v>0</x:v>
      </x:c>
      <x:c r="R19" s="44" t="n">
        <x:f>0</x:f>
        <x:v>0</x:v>
      </x:c>
      <x:c r="S19" s="44" t="n">
        <x:f>0</x:f>
        <x:v>0</x:v>
      </x:c>
      <x:c r="T19" s="44" t="n">
        <x:f>0</x:f>
        <x:v>0</x:v>
      </x:c>
      <x:c r="U19" s="44" t="n">
        <x:f>0</x:f>
        <x:v>0</x:v>
      </x:c>
      <x:c r="V19" s="44" t="n">
        <x:f>0</x:f>
        <x:v>0</x:v>
      </x:c>
      <x:c r="W19" s="44" t="n">
        <x:f>0</x:f>
        <x:v>0</x:v>
      </x:c>
      <x:c r="X19" s="44" t="n">
        <x:f>0</x:f>
        <x:v>0</x:v>
      </x:c>
      <x:c r="Y19" s="44" t="n">
        <x:f>0</x:f>
        <x:v>0</x:v>
      </x:c>
      <x:c r="Z19" s="44" t="n">
        <x:f>0</x:f>
        <x:v>0</x:v>
      </x:c>
      <x:c r="AA19" s="44" t="n">
        <x:f>0</x:f>
        <x:v>0</x:v>
      </x:c>
    </x:row>
    <x:row r="20">
      <x:c r="A20" s="2"/>
      <x:c r="B20" s="2"/>
      <x:c r="C20" s="2" t="str">
        <x:v>Net cash change</x:v>
      </x:c>
      <x:c r="D20" s="34" t="n">
        <x:f>D18-D19</x:f>
        <x:v>-187000</x:v>
      </x:c>
      <x:c r="E20" s="34" t="n">
        <x:f>E18-E19</x:f>
        <x:v>-13000</x:v>
      </x:c>
      <x:c r="F20" s="34" t="n">
        <x:f>F18-F19</x:f>
        <x:v>-13000</x:v>
      </x:c>
      <x:c r="G20" s="34" t="n">
        <x:f>G18-G19</x:f>
        <x:v>-13000</x:v>
      </x:c>
      <x:c r="H20" s="34" t="n">
        <x:f>H18-H19</x:f>
        <x:v>-13000</x:v>
      </x:c>
      <x:c r="I20" s="34" t="n">
        <x:f>I18-I19</x:f>
        <x:v>-14001.912</x:v>
      </x:c>
      <x:c r="J20" s="34" t="n">
        <x:f>J18-J19</x:f>
        <x:v>-12646.29432</x:v>
      </x:c>
      <x:c r="K20" s="34" t="n">
        <x:f>K18-K19</x:f>
        <x:v>-11331.3451704</x:v>
      </x:c>
      <x:c r="L20" s="34" t="n">
        <x:f>L18-L19</x:f>
        <x:v>-10055.844495288</x:v>
      </x:c>
      <x:c r="M20" s="34" t="n">
        <x:f>M18-M19</x:f>
        <x:v>-8818.60884042936</x:v>
      </x:c>
      <x:c r="N20" s="34" t="n">
        <x:f>N18-N19</x:f>
        <x:v>-7618.490255216479</x:v>
      </x:c>
      <x:c r="O20" s="44" t="n">
        <x:f>O18-O19</x:f>
        <x:v>-6454.375227559984</x:v>
      </x:c>
      <x:c r="P20" s="44" t="n">
        <x:f>P18-P19</x:f>
        <x:v>-5325.183650733186</x:v>
      </x:c>
      <x:c r="Q20" s="44" t="n">
        <x:f>Q18-Q19</x:f>
        <x:v>-4229.867821211188</x:v>
      </x:c>
      <x:c r="R20" s="44" t="n">
        <x:f>R18-R19</x:f>
        <x:v>-3167.4114665748566</x:v>
      </x:c>
      <x:c r="S20" s="44" t="n">
        <x:f>S18-S19</x:f>
        <x:v>-2136.828802577609</x:v>
      </x:c>
      <x:c r="T20" s="44" t="n">
        <x:f>T18-T19</x:f>
        <x:v>-1137.163618500279</x:v>
      </x:c>
      <x:c r="U20" s="44" t="n">
        <x:f>U18-U19</x:f>
        <x:v>-167.4883899452725</x:v>
      </x:c>
      <x:c r="V20" s="44" t="n">
        <x:f>V18-V19</x:f>
        <x:v>773.0965817530887</x:v>
      </x:c>
      <x:c r="W20" s="44" t="n">
        <x:f>W18-W19</x:f>
        <x:v>1685.4640043004947</x:v>
      </x:c>
      <x:c r="X20" s="44" t="n">
        <x:f>X18-X19</x:f>
        <x:v>2570.460404171481</x:v>
      </x:c>
      <x:c r="Y20" s="44" t="n">
        <x:f>Y18-Y19</x:f>
        <x:v>3428.9069120463355</x:v>
      </x:c>
      <x:c r="Z20" s="44" t="n">
        <x:f>Z18-Z19</x:f>
        <x:v>4261.600024684947</x:v>
      </x:c>
      <x:c r="AA20" s="44" t="n">
        <x:f>AA18-AA19</x:f>
        <x:v>5069.312343944399</x:v>
      </x:c>
    </x:row>
    <x:row r="21">
      <x:c r="A21" s="2"/>
      <x:c r="B21" s="2"/>
      <x:c r="C21" s="2" t="str">
        <x:v>Opening cash</x:v>
      </x:c>
      <x:c r="D21" s="34" t="n">
        <x:f>'Assumptions'!D49</x:f>
        <x:v>250000</x:v>
      </x:c>
      <x:c r="E21" s="34" t="n">
        <x:f>D22</x:f>
        <x:v>63000</x:v>
      </x:c>
      <x:c r="F21" s="34" t="n">
        <x:f>E22</x:f>
        <x:v>50000</x:v>
      </x:c>
      <x:c r="G21" s="34" t="n">
        <x:f>F22</x:f>
        <x:v>37000</x:v>
      </x:c>
      <x:c r="H21" s="34" t="n">
        <x:f>G22</x:f>
        <x:v>24000</x:v>
      </x:c>
      <x:c r="I21" s="34" t="n">
        <x:f>H22</x:f>
        <x:v>11000</x:v>
      </x:c>
      <x:c r="J21" s="34" t="n">
        <x:f>I22</x:f>
        <x:v>-3001.9120000000003</x:v>
      </x:c>
      <x:c r="K21" s="34" t="n">
        <x:f>J22</x:f>
        <x:v>-15648.206320000001</x:v>
      </x:c>
      <x:c r="L21" s="34" t="n">
        <x:f>K22</x:f>
        <x:v>-26979.5514904</x:v>
      </x:c>
      <x:c r="M21" s="34" t="n">
        <x:f>L22</x:f>
        <x:v>-37035.395985688</x:v>
      </x:c>
      <x:c r="N21" s="34" t="n">
        <x:f>M22</x:f>
        <x:v>-45854.004826117365</x:v>
      </x:c>
      <x:c r="O21" s="44" t="n">
        <x:f>N22</x:f>
        <x:v>-53472.495081333844</x:v>
      </x:c>
      <x:c r="P21" s="44" t="n">
        <x:f>O22</x:f>
        <x:v>-59926.87030889383</x:v>
      </x:c>
      <x:c r="Q21" s="44" t="n">
        <x:f>P22</x:f>
        <x:v>-65252.05395962701</x:v>
      </x:c>
      <x:c r="R21" s="44" t="n">
        <x:f>Q22</x:f>
        <x:v>-69481.9217808382</x:v>
      </x:c>
      <x:c r="S21" s="44" t="n">
        <x:f>R22</x:f>
        <x:v>-72649.33324741304</x:v>
      </x:c>
      <x:c r="T21" s="44" t="n">
        <x:f>S22</x:f>
        <x:v>-74786.16204999066</x:v>
      </x:c>
      <x:c r="U21" s="44" t="n">
        <x:f>T22</x:f>
        <x:v>-75923.32566849093</x:v>
      </x:c>
      <x:c r="V21" s="44" t="n">
        <x:f>U22</x:f>
        <x:v>-76090.8140584362</x:v>
      </x:c>
      <x:c r="W21" s="44" t="n">
        <x:f>V22</x:f>
        <x:v>-75317.71747668312</x:v>
      </x:c>
      <x:c r="X21" s="44" t="n">
        <x:f>W22</x:f>
        <x:v>-73632.25347238262</x:v>
      </x:c>
      <x:c r="Y21" s="44" t="n">
        <x:f>X22</x:f>
        <x:v>-71061.79306821115</x:v>
      </x:c>
      <x:c r="Z21" s="44" t="n">
        <x:f>Y22</x:f>
        <x:v>-67632.88615616481</x:v>
      </x:c>
      <x:c r="AA21" s="44" t="n">
        <x:f>Z22</x:f>
        <x:v>-63371.286131479865</x:v>
      </x:c>
    </x:row>
    <x:row r="22">
      <x:c r="A22" s="2"/>
      <x:c r="B22" s="2"/>
      <x:c r="C22" s="26" t="str">
        <x:v>Closing cash</x:v>
      </x:c>
      <x:c r="D22" s="37" t="n">
        <x:f>D21+D20</x:f>
        <x:v>63000</x:v>
      </x:c>
      <x:c r="E22" s="37" t="n">
        <x:f>E21+E20</x:f>
        <x:v>50000</x:v>
      </x:c>
      <x:c r="F22" s="37" t="n">
        <x:f>F21+F20</x:f>
        <x:v>37000</x:v>
      </x:c>
      <x:c r="G22" s="37" t="n">
        <x:f>G21+G20</x:f>
        <x:v>24000</x:v>
      </x:c>
      <x:c r="H22" s="37" t="n">
        <x:f>H21+H20</x:f>
        <x:v>11000</x:v>
      </x:c>
      <x:c r="I22" s="37" t="n">
        <x:f>I21+I20</x:f>
        <x:v>-3001.9120000000003</x:v>
      </x:c>
      <x:c r="J22" s="37" t="n">
        <x:f>J21+J20</x:f>
        <x:v>-15648.206320000001</x:v>
      </x:c>
      <x:c r="K22" s="37" t="n">
        <x:f>K21+K20</x:f>
        <x:v>-26979.5514904</x:v>
      </x:c>
      <x:c r="L22" s="37" t="n">
        <x:f>L21+L20</x:f>
        <x:v>-37035.395985688</x:v>
      </x:c>
      <x:c r="M22" s="37" t="n">
        <x:f>M21+M20</x:f>
        <x:v>-45854.004826117365</x:v>
      </x:c>
      <x:c r="N22" s="37" t="n">
        <x:f>N21+N20</x:f>
        <x:v>-53472.495081333844</x:v>
      </x:c>
      <x:c r="O22" s="47" t="n">
        <x:f>O21+O20</x:f>
        <x:v>-59926.87030889383</x:v>
      </x:c>
      <x:c r="P22" s="47" t="n">
        <x:f>P21+P20</x:f>
        <x:v>-65252.05395962701</x:v>
      </x:c>
      <x:c r="Q22" s="47" t="n">
        <x:f>Q21+Q20</x:f>
        <x:v>-69481.9217808382</x:v>
      </x:c>
      <x:c r="R22" s="47" t="n">
        <x:f>R21+R20</x:f>
        <x:v>-72649.33324741304</x:v>
      </x:c>
      <x:c r="S22" s="47" t="n">
        <x:f>S21+S20</x:f>
        <x:v>-74786.16204999066</x:v>
      </x:c>
      <x:c r="T22" s="47" t="n">
        <x:f>T21+T20</x:f>
        <x:v>-75923.32566849093</x:v>
      </x:c>
      <x:c r="U22" s="47" t="n">
        <x:f>U21+U20</x:f>
        <x:v>-76090.8140584362</x:v>
      </x:c>
      <x:c r="V22" s="47" t="n">
        <x:f>V21+V20</x:f>
        <x:v>-75317.71747668312</x:v>
      </x:c>
      <x:c r="W22" s="47" t="n">
        <x:f>W21+W20</x:f>
        <x:v>-73632.25347238262</x:v>
      </x:c>
      <x:c r="X22" s="47" t="n">
        <x:f>X21+X20</x:f>
        <x:v>-71061.79306821115</x:v>
      </x:c>
      <x:c r="Y22" s="47" t="n">
        <x:f>Y21+Y20</x:f>
        <x:v>-67632.88615616481</x:v>
      </x:c>
      <x:c r="Z22" s="47" t="n">
        <x:f>Z21+Z20</x:f>
        <x:v>-63371.286131479865</x:v>
      </x:c>
      <x:c r="AA22" s="47" t="n">
        <x:f>AA21+AA20</x:f>
        <x:v>-58301.97378753546</x:v>
      </x:c>
    </x:row>
    <x:row r="23">
      <x:c r="A23" s="2"/>
      <x:c r="B23" s="2"/>
      <x:c r="C23" s="2"/>
      <x:c r="D23" s="2"/>
      <x:c r="E23" s="2"/>
      <x:c r="F23" s="2"/>
      <x:c r="G23" s="2"/>
      <x:c r="H23" s="2"/>
      <x:c r="I23" s="2"/>
      <x:c r="J23" s="2"/>
      <x:c r="K23" s="2"/>
      <x:c r="L23" s="2"/>
      <x:c r="M23" s="2"/>
      <x:c r="N23" s="2"/>
    </x:row>
    <x:row r="24" ht="30" customHeight="1">
      <x:c r="A24" s="2"/>
      <x:c r="B24" s="2"/>
      <x:c r="C24" s="33" t="str">
        <x:v>No new locations, setup contribution, acquisition CAC or recurring contribution before the commercial start month. Fixed overhead and owner draw begin Month 1. Engineering outflow is front-loaded in Month 1 and excludes non-engineering, legal, entity and hardware costs. Provider waits remain unknown. Funding gap is not a complete funding requirement.</x:v>
      </x:c>
      <x:c r="D24" s="2"/>
      <x:c r="E24" s="2"/>
      <x:c r="F24" s="2"/>
      <x:c r="G24" s="2"/>
      <x:c r="H24" s="2"/>
      <x:c r="I24" s="2"/>
      <x:c r="J24" s="2"/>
      <x:c r="K24" s="2"/>
      <x:c r="L24" s="2"/>
      <x:c r="M24" s="2"/>
      <x:c r="N24" s="2"/>
    </x:row>
    <x:row r="25" ht="30" customHeight="1">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C24:AA25"/>
  </x:mergeCells>
  <x:conditionalFormatting sqref="D18:AA22">
    <x:cfRule type="cellIs" dxfId="4" priority="1" operator="lessThan">
      <x:formula>0</x:formula>
    </x:cfRule>
  </x:conditionalFormatting>
  <x:pageMargins left="0.7" right="0.7" top="0.75" bottom="0.75" header="0.3" footer="0.3"/>
</x:worksheet>
</file>

<file path=xl/worksheets/sheet6.xml><?xml version="1.0" encoding="utf-8"?>
<x:worksheet xmlns:x="http://schemas.openxmlformats.org/spreadsheetml/2006/main">
  <x:sheetPr>
    <x:tabColor rgb="FF98A2B3"/>
  </x:sheetPr>
  <x:sheetViews>
    <x:sheetView showGridLines="0" workbookViewId="0">
      <x:pane ySplit="6" topLeftCell="A7" activePane="bottomLeft" state="frozen"/>
    </x:sheetView>
  </x:sheetViews>
  <x:sheetFormatPr defaultRowHeight="15"/>
  <x:cols>
    <x:col min="1" max="1" width="3" hidden="0" customWidth="1"/>
    <x:col min="2" max="2" width="3" hidden="0" customWidth="1"/>
    <x:col min="3" max="3" width="24" hidden="0" customWidth="1"/>
    <x:col min="4" max="4" width="16" hidden="0" customWidth="1"/>
    <x:col min="5" max="5" width="16" hidden="0" customWidth="1"/>
    <x:col min="6" max="6" width="16" hidden="0" customWidth="1"/>
    <x:col min="7" max="7" width="16" hidden="0" customWidth="1"/>
    <x:col min="8" max="8" width="16" hidden="0" customWidth="1"/>
  </x:cols>
  <x:sheetData>
    <x:row r="1">
      <x:c r="A1" s="2"/>
      <x:c r="B1" s="2"/>
      <x:c r="C1" s="2"/>
      <x:c r="D1" s="2"/>
      <x:c r="E1" s="2"/>
      <x:c r="F1" s="2"/>
      <x:c r="G1" s="2"/>
      <x:c r="H1" s="2"/>
      <x:c r="I1" s="2"/>
      <x:c r="J1" s="2"/>
      <x:c r="K1" s="2"/>
      <x:c r="L1" s="2"/>
      <x:c r="M1" s="2"/>
      <x:c r="N1" s="2"/>
    </x:row>
    <x:row r="2" ht="24" customHeight="1">
      <x:c r="A2" s="2"/>
      <x:c r="B2" s="2"/>
      <x:c r="C2" s="3" t="str">
        <x:v>Model notes</x:v>
      </x:c>
      <x:c r="D2" s="2"/>
      <x:c r="E2" s="2"/>
      <x:c r="F2" s="2"/>
      <x:c r="G2" s="2"/>
      <x:c r="H2" s="2"/>
      <x:c r="I2" s="2"/>
      <x:c r="J2" s="2"/>
      <x:c r="K2" s="2"/>
      <x:c r="L2" s="2"/>
      <x:c r="M2" s="2"/>
      <x:c r="N2" s="2"/>
    </x:row>
    <x:row r="3">
      <x:c r="A3" s="2"/>
      <x:c r="B3" s="2"/>
      <x:c r="C3" s="4" t="str">
        <x:v>How to use and interpret this workbook.</x:v>
      </x:c>
      <x:c r="D3" s="2"/>
      <x:c r="E3" s="2"/>
      <x:c r="F3" s="2"/>
      <x:c r="G3" s="2"/>
      <x:c r="H3" s="2"/>
      <x:c r="I3" s="2"/>
      <x:c r="J3" s="2"/>
      <x:c r="K3" s="2"/>
      <x:c r="L3" s="2"/>
      <x:c r="M3" s="2"/>
      <x:c r="N3" s="2"/>
    </x:row>
    <x:row r="4">
      <x:c r="A4" s="2"/>
      <x:c r="B4" s="2"/>
      <x:c r="C4" s="5"/>
      <x:c r="D4" s="5"/>
      <x:c r="E4" s="5"/>
      <x:c r="F4" s="5"/>
      <x:c r="G4" s="5"/>
      <x:c r="H4" s="5"/>
      <x:c r="I4" s="5"/>
      <x:c r="J4" s="5"/>
      <x:c r="K4" s="2"/>
      <x:c r="L4" s="2"/>
      <x:c r="M4" s="2"/>
      <x:c r="N4" s="2"/>
    </x:row>
    <x:row r="5">
      <x:c r="A5" s="2"/>
      <x:c r="B5" s="2"/>
      <x:c r="C5" s="2"/>
      <x:c r="D5" s="2"/>
      <x:c r="E5" s="2"/>
      <x:c r="F5" s="2"/>
      <x:c r="G5" s="2"/>
      <x:c r="H5" s="2"/>
      <x:c r="I5" s="2"/>
      <x:c r="J5" s="2"/>
      <x:c r="K5" s="2"/>
      <x:c r="L5" s="2"/>
      <x:c r="M5" s="2"/>
      <x:c r="N5" s="2"/>
    </x:row>
    <x:row r="6">
      <x:c r="A6" s="2"/>
      <x:c r="B6" s="2"/>
      <x:c r="C6" s="13" t="str">
        <x:v>Item</x:v>
      </x:c>
      <x:c r="D6" s="13" t="str">
        <x:v>Note</x:v>
      </x:c>
      <x:c r="E6" s="13"/>
      <x:c r="F6" s="13"/>
      <x:c r="G6" s="13"/>
      <x:c r="H6" s="13"/>
      <x:c r="I6" s="2"/>
      <x:c r="J6" s="2"/>
      <x:c r="K6" s="2"/>
      <x:c r="L6" s="2"/>
      <x:c r="M6" s="2"/>
      <x:c r="N6" s="2"/>
    </x:row>
    <x:row r="7" ht="36" customHeight="1">
      <x:c r="A7" s="2"/>
      <x:c r="B7" s="2"/>
      <x:c r="C7" s="2" t="str">
        <x:v>Purpose</x:v>
      </x:c>
      <x:c r="D7" s="32" t="str">
        <x:v>UAE order-handoff + Wallet worked example, not an all-GCC budget or forecast. No external merchant operating data used.</x:v>
      </x:c>
      <x:c r="E7" s="32"/>
      <x:c r="F7" s="32"/>
      <x:c r="G7" s="32"/>
      <x:c r="H7" s="32"/>
      <x:c r="I7" s="2"/>
      <x:c r="J7" s="2"/>
      <x:c r="K7" s="2"/>
      <x:c r="L7" s="2"/>
      <x:c r="M7" s="2"/>
      <x:c r="N7" s="2"/>
    </x:row>
    <x:row r="8" ht="36" customHeight="1">
      <x:c r="A8" s="2"/>
      <x:c r="B8" s="2"/>
      <x:c r="C8" s="2" t="str">
        <x:v>Case control</x:v>
      </x:c>
      <x:c r="D8" s="32" t="str">
        <x:v>Change Assumptions!D6 only: 1 = Base, 2 = Downside. All models and outputs update from that selector.</x:v>
      </x:c>
      <x:c r="E8" s="32"/>
      <x:c r="F8" s="32"/>
      <x:c r="G8" s="32"/>
      <x:c r="H8" s="32"/>
      <x:c r="I8" s="2"/>
      <x:c r="J8" s="2"/>
      <x:c r="K8" s="2"/>
      <x:c r="L8" s="2"/>
      <x:c r="M8" s="2"/>
      <x:c r="N8" s="2"/>
    </x:row>
    <x:row r="9" ht="36" customHeight="1">
      <x:c r="A9" s="2"/>
      <x:c r="B9" s="2"/>
      <x:c r="C9" s="2" t="str">
        <x:v>Merchant scope</x:v>
      </x:c>
      <x:c r="D9" s="32" t="str">
        <x:v>6,000 monthly paid orders. A predefined 25% eligible-order allocation gives 1,500 fixed-cohort orders. This is not measured loyalty adoption or self-selection. Lift is an ITT-style planning assumption on that cohort.</x:v>
      </x:c>
      <x:c r="E9" s="32"/>
      <x:c r="F9" s="32"/>
      <x:c r="G9" s="32"/>
      <x:c r="H9" s="32"/>
      <x:c r="I9" s="2"/>
      <x:c r="J9" s="2"/>
      <x:c r="K9" s="2"/>
      <x:c r="L9" s="2"/>
      <x:c r="M9" s="2"/>
      <x:c r="N9" s="2"/>
    </x:row>
    <x:row r="10" ht="36" customHeight="1">
      <x:c r="A10" s="2"/>
      <x:c r="B10" s="2"/>
      <x:c r="C10" s="2" t="str">
        <x:v>Messaging</x:v>
      </x:c>
      <x:c r="D10" s="32" t="str">
        <x:v>One ready message per opted-in order. AED 0.10 landed cost combines AED 0.0576 current Meta utility component and AED 0.0424 unquoted provider reserve; not a quoted total rate. Usage charge adds 25% markup once.</x:v>
      </x:c>
      <x:c r="E10" s="32"/>
      <x:c r="F10" s="32"/>
      <x:c r="G10" s="32"/>
      <x:c r="H10" s="32"/>
      <x:c r="I10" s="2"/>
      <x:c r="J10" s="2"/>
      <x:c r="K10" s="2"/>
      <x:c r="L10" s="2"/>
      <x:c r="M10" s="2"/>
      <x:c r="N10" s="2"/>
    </x:row>
    <x:row r="11" ht="36" customHeight="1">
      <x:c r="A11" s="2"/>
      <x:c r="B11" s="2"/>
      <x:c r="C11" s="2" t="str">
        <x:v>Meta pricing</x:v>
      </x:c>
      <x:c r="D11" s="32" t="str">
        <x:v>Do not assume 2025-era free in-window utility messages. 1,000 monthly free tier is not assumed applicable to utility ready messages. Use current live effective rate card.</x:v>
      </x:c>
      <x:c r="E11" s="32"/>
      <x:c r="F11" s="32"/>
      <x:c r="G11" s="32"/>
      <x:c r="H11" s="32"/>
      <x:c r="I11" s="2"/>
      <x:c r="J11" s="2"/>
      <x:c r="K11" s="2"/>
      <x:c r="L11" s="2"/>
      <x:c r="M11" s="2"/>
      <x:c r="N11" s="2"/>
    </x:row>
    <x:row r="12" ht="36" customHeight="1">
      <x:c r="A12" s="2"/>
      <x:c r="B12" s="2"/>
      <x:c r="C12" s="2" t="str">
        <x:v>SMS</x:v>
      </x:c>
      <x:c r="D12" s="32" t="str">
        <x:v>Sender registration and sender costs are outside core assumptions unless user adds them.</x:v>
      </x:c>
      <x:c r="E12" s="32"/>
      <x:c r="F12" s="32"/>
      <x:c r="G12" s="32"/>
      <x:c r="H12" s="32"/>
      <x:c r="I12" s="2"/>
      <x:c r="J12" s="2"/>
      <x:c r="K12" s="2"/>
      <x:c r="L12" s="2"/>
      <x:c r="M12" s="2"/>
      <x:c r="N12" s="2"/>
    </x:row>
    <x:row r="13" ht="36" customHeight="1">
      <x:c r="A13" s="2"/>
      <x:c r="B13" s="2"/>
      <x:c r="C13" s="2" t="str">
        <x:v>Capacity</x:v>
      </x:c>
      <x:c r="D13" s="32" t="str">
        <x:v>Released staff hours and valued capacity are shown separately. They are not automatic cash savings and do not support incremental orders twice.</x:v>
      </x:c>
      <x:c r="E13" s="32"/>
      <x:c r="F13" s="32"/>
      <x:c r="G13" s="32"/>
      <x:c r="H13" s="32"/>
      <x:c r="I13" s="2"/>
      <x:c r="J13" s="2"/>
      <x:c r="K13" s="2"/>
      <x:c r="L13" s="2"/>
      <x:c r="M13" s="2"/>
      <x:c r="N13" s="2"/>
    </x:row>
    <x:row r="14" ht="66" customHeight="1">
      <x:c r="A14" s="2"/>
      <x:c r="B14" s="2"/>
      <x:c r="C14" s="2" t="str">
        <x:v>SaaS</x:v>
      </x:c>
      <x:c r="D14" s="32" t="str">
        <x:v>Recurring break-even excludes setup. One-time setup uses 2.9% card processing plus AED 1, not the recurring Billing fee. VAT collection/remittance timing and merchant recoverability are not modeled; changing the VAT driver changes processor cost, not full tax cash flow. Issuer cost is AED 0 because it is excluded pending quote.</x:v>
      </x:c>
      <x:c r="E14" s="32"/>
      <x:c r="F14" s="32"/>
      <x:c r="G14" s="32"/>
      <x:c r="H14" s="32"/>
      <x:c r="I14" s="2"/>
      <x:c r="J14" s="2"/>
      <x:c r="K14" s="2"/>
      <x:c r="L14" s="2"/>
      <x:c r="M14" s="2"/>
      <x:c r="N14" s="2"/>
    </x:row>
    <x:row r="15" ht="54" customHeight="1">
      <x:c r="A15" s="2"/>
      <x:c r="B15" s="2"/>
      <x:c r="C15" s="2" t="str">
        <x:v>Cash ramp</x:v>
      </x:c>
      <x:c r="D15" s="32" t="str">
        <x:v>Commercial activity starts Month 6 Base / Month 9 Downside; no revenue or new-location costs before then. Fixed overhead and owner draw start Month 1. CAC is paid once on actual new locations. Funding gap excludes safety buffer and is not a complete funding requirement.</x:v>
      </x:c>
      <x:c r="E15" s="32"/>
      <x:c r="F15" s="32"/>
      <x:c r="G15" s="32"/>
      <x:c r="H15" s="32"/>
      <x:c r="I15" s="2"/>
      <x:c r="J15" s="2"/>
      <x:c r="K15" s="2"/>
      <x:c r="L15" s="2"/>
      <x:c r="M15" s="2"/>
      <x:c r="N15" s="2"/>
    </x:row>
    <x:row r="16" ht="78" customHeight="1">
      <x:c r="A16" s="2"/>
      <x:c r="B16" s="2"/>
      <x:c r="C16" s="2" t="str">
        <x:v>Development scope</x:v>
      </x:c>
      <x:c r="D16" s="32" t="str">
        <x:v>Combined UAE order-handoff + Wallet + production-release engineering uses 1,160–1,868 hours at AED 150/hour, or AED 174,000–280,200. Engineering only; excludes the separate 24-item GCC expansion backlog and all non-engineering, legal, entity and hardware costs. Pickup-only Phase 0–2 alternative: 660–1,068 hours, not used in this cash model.</x:v>
      </x:c>
      <x:c r="E16" s="32"/>
      <x:c r="F16" s="32"/>
      <x:c r="G16" s="32"/>
      <x:c r="H16" s="32"/>
      <x:c r="I16" s="2"/>
      <x:c r="J16" s="2"/>
      <x:c r="K16" s="2"/>
      <x:c r="L16" s="2"/>
      <x:c r="M16" s="2"/>
      <x:c r="N16" s="2"/>
    </x:row>
    <x:row r="17" ht="48" customHeight="1">
      <x:c r="A17" s="2"/>
      <x:c r="B17" s="2"/>
      <x:c r="C17" s="2" t="str">
        <x:v>Wallet issuer</x:v>
      </x:c>
      <x:c r="D17" s="32" t="str">
        <x:v>Per-merchant issuer cost is AED 0 because it is unquoted and excluded pending quote and certificate/issuer ownership verification. Do not assume one platform account can sign third-party passes.</x:v>
      </x:c>
      <x:c r="E17" s="32"/>
      <x:c r="F17" s="32"/>
      <x:c r="G17" s="32"/>
      <x:c r="H17" s="32"/>
      <x:c r="I17" s="2"/>
      <x:c r="J17" s="2"/>
      <x:c r="K17" s="2"/>
      <x:c r="L17" s="2"/>
      <x:c r="M17" s="2"/>
      <x:c r="N17" s="2"/>
    </x:row>
    <x:row r="18">
      <x:c r="A18" s="2"/>
      <x:c r="B18" s="2"/>
      <x:c r="C18" s="2"/>
      <x:c r="D18" s="2"/>
      <x:c r="E18" s="2"/>
      <x:c r="F18" s="2"/>
      <x:c r="G18" s="2"/>
      <x:c r="H18" s="2"/>
      <x:c r="I18" s="2"/>
      <x:c r="J18" s="2"/>
      <x:c r="K18" s="2"/>
      <x:c r="L18" s="2"/>
      <x:c r="M18" s="2"/>
      <x:c r="N18" s="2"/>
    </x:row>
    <x:row r="19" ht="30" customHeight="1">
      <x:c r="A19" s="2"/>
      <x:c r="B19" s="2"/>
      <x:c r="C19" s="33" t="str">
        <x:v>Sources: Stripe UAE pricing, https://stripe.com/ae/pricing. Meta utility component per supplied research audit current 2026-10-27. Platform constraints summarized from supplied research.</x:v>
      </x:c>
      <x:c r="D19" s="32"/>
      <x:c r="E19" s="32"/>
      <x:c r="F19" s="32"/>
      <x:c r="G19" s="32"/>
      <x:c r="H19" s="32"/>
      <x:c r="I19" s="2"/>
      <x:c r="J19" s="2"/>
      <x:c r="K19" s="2"/>
      <x:c r="L19" s="2"/>
      <x:c r="M19" s="2"/>
      <x:c r="N19" s="2"/>
    </x:row>
    <x:row r="20">
      <x:c r="A20" s="2"/>
      <x:c r="B20" s="2"/>
      <x:c r="C20" s="2"/>
      <x:c r="D20" s="2"/>
      <x:c r="E20" s="2"/>
      <x:c r="F20" s="2"/>
      <x:c r="G20" s="2"/>
      <x:c r="H20" s="2"/>
      <x:c r="I20" s="2"/>
      <x:c r="J20" s="2"/>
      <x:c r="K20" s="2"/>
      <x:c r="L20" s="2"/>
      <x:c r="M20" s="2"/>
      <x:c r="N20" s="2"/>
    </x:row>
    <x:row r="21">
      <x:c r="A21" s="2"/>
      <x:c r="B21" s="2"/>
      <x:c r="C21" s="2"/>
      <x:c r="D21" s="2"/>
      <x:c r="E21" s="2"/>
      <x:c r="F21" s="2"/>
      <x:c r="G21" s="2"/>
      <x:c r="H21" s="2"/>
      <x:c r="I21" s="2"/>
      <x:c r="J21" s="2"/>
      <x:c r="K21" s="2"/>
      <x:c r="L21" s="2"/>
      <x:c r="M21" s="2"/>
      <x:c r="N21" s="2"/>
    </x:row>
    <x:row r="22">
      <x:c r="A22" s="2"/>
      <x:c r="B22" s="2"/>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sheetData>
  <x:mergeCells>
    <x:mergeCell ref="D7:H7"/>
    <x:mergeCell ref="D8:H8"/>
    <x:mergeCell ref="D9:H9"/>
    <x:mergeCell ref="D10:H10"/>
    <x:mergeCell ref="D11:H11"/>
    <x:mergeCell ref="D12:H12"/>
    <x:mergeCell ref="D13:H13"/>
    <x:mergeCell ref="D14:H14"/>
    <x:mergeCell ref="D15:H15"/>
    <x:mergeCell ref="D16:H16"/>
    <x:mergeCell ref="D17:H17"/>
    <x:mergeCell ref="C19:H19"/>
  </x:mergeCells>
  <x:pageMargins left="0.7" right="0.7" top="0.75" bottom="0.75" header="0.3" footer="0.3"/>
</x:worksheet>
</file>